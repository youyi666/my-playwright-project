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my-playwright-project\download_playwright\exc_data\2026年预算\"/>
    </mc:Choice>
  </mc:AlternateContent>
  <xr:revisionPtr revIDLastSave="0" documentId="8_{4C9F37DE-C173-4832-B927-1F310A44CEAC}" xr6:coauthVersionLast="47" xr6:coauthVersionMax="47" xr10:uidLastSave="{00000000-0000-0000-0000-000000000000}"/>
  <bookViews>
    <workbookView xWindow="660" yWindow="495" windowWidth="28020" windowHeight="14850" xr2:uid="{00000000-000D-0000-FFFF-FFFF00000000}"/>
  </bookViews>
  <sheets>
    <sheet name="销售预算明细" sheetId="2" r:id="rId1"/>
    <sheet name="映射集" sheetId="3" r:id="rId2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" i="2" l="1"/>
  <c r="T8" i="2"/>
  <c r="AF8" i="2" l="1"/>
  <c r="AG8" i="2" s="1"/>
  <c r="U8" i="2"/>
  <c r="AH8" i="2" l="1"/>
  <c r="AI8" i="2" s="1"/>
</calcChain>
</file>

<file path=xl/sharedStrings.xml><?xml version="1.0" encoding="utf-8"?>
<sst xmlns="http://schemas.openxmlformats.org/spreadsheetml/2006/main" count="298" uniqueCount="156">
  <si>
    <t>云米集团2026年销售收入预算表</t>
  </si>
  <si>
    <t>单位：元、台（套）、元/台（套）</t>
  </si>
  <si>
    <t>备注：</t>
  </si>
  <si>
    <t>1、最终以AH列作为规模，单位：元。以下是例子。</t>
  </si>
  <si>
    <t>2、大类请参考映射集的表。</t>
  </si>
  <si>
    <t>填写：下市品/主销品/新品</t>
  </si>
  <si>
    <t>年度</t>
  </si>
  <si>
    <t>季度</t>
  </si>
  <si>
    <t>月份</t>
  </si>
  <si>
    <t>品牌</t>
  </si>
  <si>
    <t>一级渠道</t>
  </si>
  <si>
    <t>二级渠道</t>
  </si>
  <si>
    <t>客户/店铺编码</t>
  </si>
  <si>
    <t>客户/店铺名称</t>
  </si>
  <si>
    <t>69码</t>
  </si>
  <si>
    <t>物料编码</t>
  </si>
  <si>
    <t>商品名称</t>
  </si>
  <si>
    <t>大类</t>
  </si>
  <si>
    <t>中类</t>
  </si>
  <si>
    <t>小类</t>
  </si>
  <si>
    <t>产品定位</t>
  </si>
  <si>
    <t>产品状态</t>
  </si>
  <si>
    <t>上市时间</t>
  </si>
  <si>
    <t>销售数量</t>
  </si>
  <si>
    <t>含税销售单价</t>
  </si>
  <si>
    <t>含税销售金额</t>
  </si>
  <si>
    <t>不含税销售金额</t>
  </si>
  <si>
    <t>销售折让%</t>
  </si>
  <si>
    <t>毛保费率</t>
  </si>
  <si>
    <t>后返权益费率</t>
  </si>
  <si>
    <t>年度返利率</t>
  </si>
  <si>
    <t>季度返利率</t>
  </si>
  <si>
    <t>月度返利率</t>
  </si>
  <si>
    <t>动销推广费率</t>
  </si>
  <si>
    <t>装修补贴率</t>
  </si>
  <si>
    <t>分部资源率</t>
  </si>
  <si>
    <t>大区资源率</t>
  </si>
  <si>
    <t>含税销售折让</t>
  </si>
  <si>
    <t>不含税销售折让</t>
  </si>
  <si>
    <t>含税销售收入净额</t>
  </si>
  <si>
    <t>不含税销售净收入</t>
  </si>
  <si>
    <t>2025年</t>
  </si>
  <si>
    <t>Q1</t>
  </si>
  <si>
    <t>1月</t>
  </si>
  <si>
    <t>云米</t>
  </si>
  <si>
    <t>云米线上</t>
  </si>
  <si>
    <t>天猫</t>
  </si>
  <si>
    <t>智能清洁</t>
  </si>
  <si>
    <t>下市</t>
  </si>
  <si>
    <t>月份-季度映射</t>
  </si>
  <si>
    <t>销售渠道映射</t>
  </si>
  <si>
    <t>销售大类</t>
  </si>
  <si>
    <t>产品大类</t>
  </si>
  <si>
    <t>所属BU</t>
  </si>
  <si>
    <t>小米</t>
  </si>
  <si>
    <t>水家电</t>
  </si>
  <si>
    <t>净水BU</t>
  </si>
  <si>
    <t>高端</t>
  </si>
  <si>
    <t>主销品</t>
  </si>
  <si>
    <t>2月</t>
  </si>
  <si>
    <t>分销商</t>
  </si>
  <si>
    <t>厨电</t>
  </si>
  <si>
    <t>厨电BU</t>
  </si>
  <si>
    <t>中端</t>
  </si>
  <si>
    <t>下市品</t>
  </si>
  <si>
    <t>3月</t>
  </si>
  <si>
    <t>京东</t>
  </si>
  <si>
    <t>热水器</t>
  </si>
  <si>
    <t>低端</t>
  </si>
  <si>
    <t>新品</t>
  </si>
  <si>
    <t>4月</t>
  </si>
  <si>
    <t>Q2</t>
  </si>
  <si>
    <t>有品</t>
  </si>
  <si>
    <t>卫浴</t>
  </si>
  <si>
    <t>5月</t>
  </si>
  <si>
    <t>拼多多</t>
  </si>
  <si>
    <t>微蒸烤</t>
  </si>
  <si>
    <t>6月</t>
  </si>
  <si>
    <t>苏宁</t>
  </si>
  <si>
    <t>空调</t>
  </si>
  <si>
    <t>智能BU</t>
  </si>
  <si>
    <t>7月</t>
  </si>
  <si>
    <t>Q3</t>
  </si>
  <si>
    <t>冰箱</t>
  </si>
  <si>
    <t>8月</t>
  </si>
  <si>
    <t>新社交</t>
  </si>
  <si>
    <t>洗衣机</t>
  </si>
  <si>
    <t>9月</t>
  </si>
  <si>
    <t>云米商城</t>
  </si>
  <si>
    <t>小家电</t>
  </si>
  <si>
    <t>10月</t>
  </si>
  <si>
    <t>Q4</t>
  </si>
  <si>
    <t>唯品会</t>
  </si>
  <si>
    <t>智能家居</t>
  </si>
  <si>
    <t>11月</t>
  </si>
  <si>
    <t>战略业务</t>
  </si>
  <si>
    <t>云米线下</t>
  </si>
  <si>
    <t>5G</t>
  </si>
  <si>
    <t>12月</t>
  </si>
  <si>
    <t>KA</t>
  </si>
  <si>
    <t>网商下沉</t>
  </si>
  <si>
    <t>咖啡机</t>
  </si>
  <si>
    <t>线下大区</t>
  </si>
  <si>
    <t>M2C</t>
  </si>
  <si>
    <t>OEM</t>
  </si>
  <si>
    <t>外销_电商_美亚</t>
  </si>
  <si>
    <t>外销</t>
  </si>
  <si>
    <t>外销_电商_欧亚</t>
  </si>
  <si>
    <t>外销_电商_韩国</t>
  </si>
  <si>
    <t>外销_E国中亚</t>
  </si>
  <si>
    <t>外销_亚太</t>
  </si>
  <si>
    <t>外销_美洲</t>
  </si>
  <si>
    <t>外销_欧洲及中东非</t>
  </si>
  <si>
    <t>外销_马来</t>
  </si>
  <si>
    <t>6923185653684</t>
    <phoneticPr fontId="7" type="noConversion"/>
  </si>
  <si>
    <t>6923185649885</t>
    <phoneticPr fontId="7" type="noConversion"/>
  </si>
  <si>
    <t>6923185653974</t>
    <phoneticPr fontId="7" type="noConversion"/>
  </si>
  <si>
    <t>6923185654247</t>
    <phoneticPr fontId="7" type="noConversion"/>
  </si>
  <si>
    <t>6923185654865</t>
    <phoneticPr fontId="7" type="noConversion"/>
  </si>
  <si>
    <r>
      <rPr>
        <sz val="11"/>
        <color theme="1"/>
        <rFont val="等线"/>
        <family val="3"/>
        <charset val="134"/>
        <scheme val="minor"/>
      </rPr>
      <t>6923185650966</t>
    </r>
    <phoneticPr fontId="7" type="noConversion"/>
  </si>
  <si>
    <t>6923185653981</t>
    <phoneticPr fontId="7" type="noConversion"/>
  </si>
  <si>
    <t>6923185653592</t>
    <phoneticPr fontId="7" type="noConversion"/>
  </si>
  <si>
    <t>6923185652526</t>
    <phoneticPr fontId="7" type="noConversion"/>
  </si>
  <si>
    <t>6923185651116</t>
    <phoneticPr fontId="7" type="noConversion"/>
  </si>
  <si>
    <t>6923185655794</t>
    <phoneticPr fontId="7" type="noConversion"/>
  </si>
  <si>
    <t>6923185615415</t>
    <phoneticPr fontId="7" type="noConversion"/>
  </si>
  <si>
    <t>6923185654254</t>
    <phoneticPr fontId="7" type="noConversion"/>
  </si>
  <si>
    <t>10.01.01.01.0174</t>
  </si>
  <si>
    <t>10.01.01.05.0027</t>
  </si>
  <si>
    <t>10.01.01.01.0180</t>
  </si>
  <si>
    <t>10.01.01.01.0183</t>
  </si>
  <si>
    <t>10.01.01.01.0197</t>
  </si>
  <si>
    <t>10.01.01.04.0004</t>
  </si>
  <si>
    <t>10.01.01.01.0181</t>
  </si>
  <si>
    <t>10.01.01.01.0170</t>
  </si>
  <si>
    <t>10.01.01.10.0011</t>
  </si>
  <si>
    <t>10.01.01.01.0152</t>
  </si>
  <si>
    <t>10.01.01.04.0007</t>
  </si>
  <si>
    <t>10.01.01.02.0026</t>
  </si>
  <si>
    <t>10.01.01.01.0184</t>
  </si>
  <si>
    <t>云米AI净水器小海豚600G+</t>
  </si>
  <si>
    <t>云米·泉先前置过滤器 Super</t>
  </si>
  <si>
    <t>云米AI净水器小白龙800G+</t>
  </si>
  <si>
    <t>云米AI净水器Smart 1000G</t>
  </si>
  <si>
    <t>云米 AI净水器小海豚2</t>
  </si>
  <si>
    <t>云米·泉先 AI冷热管线机 Super 2E</t>
    <phoneticPr fontId="7" type="noConversion"/>
  </si>
  <si>
    <t>云米AI净水器Super 2Y 1200G</t>
  </si>
  <si>
    <t>云米·泉先AI净水器蓝调 600G+</t>
  </si>
  <si>
    <t>云米·泉先AI管线机Master2S</t>
  </si>
  <si>
    <t>云米·泉先AI即热净水器 Super Pro 1000G(升级)</t>
  </si>
  <si>
    <t>云米AI冷热管线机Super2 Pro</t>
  </si>
  <si>
    <t>云米AI净饮机Super 2</t>
  </si>
  <si>
    <t>云米AI昆仑矿泉净水机 Super 2E 2500</t>
  </si>
  <si>
    <t>云米电器官方旗舰店</t>
    <phoneticPr fontId="7" type="noConversion"/>
  </si>
  <si>
    <t>拼多多</t>
    <phoneticPr fontId="7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</si>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</sst>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%"/>
  </numFmts>
  <fonts count="9" x14ac:knownFonts="1">
    <font>
      <sz val="10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8605A"/>
      </patternFill>
    </fill>
    <fill>
      <patternFill patternType="solid">
        <fgColor rgb="FFAB3946"/>
      </patternFill>
    </fill>
    <fill>
      <patternFill patternType="solid">
        <fgColor rgb="FF18605A"/>
      </patternFill>
    </fill>
    <fill>
      <patternFill patternType="solid">
        <fgColor rgb="FF18605A"/>
      </patternFill>
    </fill>
    <fill>
      <patternFill patternType="solid">
        <fgColor rgb="FFAB3946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DDEBF7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32">
    <xf numFmtId="0" fontId="0" fillId="0" borderId="0" xfId="0" applyAlignment="1">
      <alignment vertical="center"/>
    </xf>
    <xf numFmtId="43" fontId="1" fillId="0" borderId="1" xfId="0" applyNumberFormat="1" applyFont="1" applyBorder="1" applyAlignment="1">
      <alignment horizontal="left" vertical="center"/>
    </xf>
    <xf numFmtId="10" fontId="1" fillId="0" borderId="2" xfId="0" applyNumberFormat="1" applyFont="1" applyBorder="1" applyAlignment="1">
      <alignment horizontal="left" vertical="center"/>
    </xf>
    <xf numFmtId="176" fontId="1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176" fontId="2" fillId="0" borderId="5" xfId="0" applyNumberFormat="1" applyFont="1" applyBorder="1" applyAlignment="1">
      <alignment horizontal="left"/>
    </xf>
    <xf numFmtId="10" fontId="2" fillId="0" borderId="6" xfId="0" applyNumberFormat="1" applyFont="1" applyBorder="1" applyAlignment="1">
      <alignment horizontal="left"/>
    </xf>
    <xf numFmtId="43" fontId="2" fillId="0" borderId="7" xfId="0" applyNumberFormat="1" applyFont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43" fontId="2" fillId="0" borderId="9" xfId="0" applyNumberFormat="1" applyFont="1" applyBorder="1" applyAlignment="1">
      <alignment horizontal="left" vertical="center"/>
    </xf>
    <xf numFmtId="10" fontId="2" fillId="0" borderId="10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176" fontId="2" fillId="0" borderId="12" xfId="0" applyNumberFormat="1" applyFont="1" applyBorder="1" applyAlignment="1">
      <alignment horizontal="left" vertical="center"/>
    </xf>
    <xf numFmtId="10" fontId="2" fillId="0" borderId="13" xfId="0" applyNumberFormat="1" applyFont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0" fontId="4" fillId="4" borderId="16" xfId="0" applyNumberFormat="1" applyFont="1" applyFill="1" applyBorder="1" applyAlignment="1">
      <alignment horizontal="center" vertical="center"/>
    </xf>
    <xf numFmtId="176" fontId="4" fillId="5" borderId="17" xfId="0" applyNumberFormat="1" applyFont="1" applyFill="1" applyBorder="1" applyAlignment="1">
      <alignment horizontal="center" vertical="center"/>
    </xf>
    <xf numFmtId="49" fontId="4" fillId="6" borderId="18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/>
    </xf>
    <xf numFmtId="43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/>
    <xf numFmtId="43" fontId="2" fillId="0" borderId="24" xfId="0" applyNumberFormat="1" applyFont="1" applyBorder="1"/>
    <xf numFmtId="10" fontId="2" fillId="0" borderId="25" xfId="0" applyNumberFormat="1" applyFont="1" applyBorder="1"/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7" borderId="28" xfId="0" applyFont="1" applyFill="1" applyBorder="1" applyAlignment="1">
      <alignment vertical="center"/>
    </xf>
    <xf numFmtId="0" fontId="6" fillId="8" borderId="29" xfId="0" applyFont="1" applyFill="1" applyBorder="1" applyAlignment="1">
      <alignment vertical="center"/>
    </xf>
    <xf numFmtId="0" fontId="5" fillId="9" borderId="30" xfId="0" applyFont="1" applyFill="1" applyBorder="1" applyAlignment="1">
      <alignment vertical="center"/>
    </xf>
    <xf numFmtId="0" fontId="6" fillId="10" borderId="3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9CBA-E2DC-4DB2-BD2D-2A87EEBFDF9F}">
  <sheetPr>
    <outlinePr summaryBelow="0" summaryRight="0"/>
  </sheetPr>
  <dimension ref="A1:AI25"/>
  <sheetViews>
    <sheetView showGridLines="0" tabSelected="1" workbookViewId="0">
      <selection activeCell="J13" sqref="J13"/>
    </sheetView>
  </sheetViews>
  <sheetFormatPr defaultColWidth="14" defaultRowHeight="12.75" x14ac:dyDescent="0.2"/>
  <cols>
    <col min="1" max="6" width="10" customWidth="1"/>
    <col min="7" max="7" width="16" customWidth="1"/>
    <col min="8" max="8" width="22.28515625" bestFit="1" customWidth="1"/>
    <col min="9" max="9" width="16" customWidth="1"/>
    <col min="10" max="10" width="17" customWidth="1"/>
    <col min="11" max="11" width="49.5703125" bestFit="1" customWidth="1"/>
    <col min="12" max="18" width="10" customWidth="1"/>
    <col min="19" max="20" width="15" customWidth="1"/>
    <col min="21" max="21" width="17" customWidth="1"/>
    <col min="22" max="22" width="11" customWidth="1"/>
    <col min="23" max="24" width="17" customWidth="1"/>
    <col min="25" max="27" width="13" customWidth="1"/>
    <col min="28" max="28" width="17" customWidth="1"/>
    <col min="29" max="31" width="13" customWidth="1"/>
    <col min="32" max="32" width="15" customWidth="1"/>
    <col min="33" max="33" width="17" customWidth="1"/>
    <col min="34" max="35" width="20" customWidth="1"/>
  </cols>
  <sheetData>
    <row r="1" spans="1:35" ht="32.1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3"/>
      <c r="X1" s="2"/>
      <c r="Y1" s="2"/>
      <c r="Z1" s="2"/>
      <c r="AA1" s="2"/>
      <c r="AB1" s="2"/>
      <c r="AC1" s="2"/>
      <c r="AD1" s="2"/>
      <c r="AE1" s="2"/>
      <c r="AF1" s="1"/>
      <c r="AG1" s="1"/>
      <c r="AH1" s="1"/>
      <c r="AI1" s="1"/>
    </row>
    <row r="2" spans="1:35" ht="18.95" customHeight="1" x14ac:dyDescent="0.25">
      <c r="A2" s="10" t="s">
        <v>1</v>
      </c>
      <c r="B2" s="8"/>
      <c r="C2" s="4"/>
      <c r="D2" s="4"/>
      <c r="E2" s="4"/>
      <c r="F2" s="4"/>
      <c r="G2" s="4"/>
      <c r="H2" s="4"/>
      <c r="I2" s="8"/>
      <c r="J2" s="8"/>
      <c r="K2" s="8"/>
      <c r="L2" s="4"/>
      <c r="M2" s="4"/>
      <c r="N2" s="4"/>
      <c r="O2" s="4"/>
      <c r="P2" s="1"/>
      <c r="Q2" s="4"/>
      <c r="R2" s="7"/>
      <c r="S2" s="7"/>
      <c r="T2" s="9"/>
      <c r="U2" s="9"/>
      <c r="V2" s="10"/>
      <c r="W2" s="12"/>
      <c r="X2" s="10"/>
      <c r="Y2" s="10"/>
      <c r="Z2" s="10"/>
      <c r="AA2" s="10"/>
      <c r="AB2" s="10"/>
      <c r="AC2" s="10"/>
      <c r="AD2" s="10"/>
      <c r="AE2" s="10"/>
      <c r="AF2" s="9"/>
      <c r="AG2" s="9"/>
      <c r="AH2" s="9"/>
      <c r="AI2" s="9"/>
    </row>
    <row r="3" spans="1:35" ht="23.1" customHeight="1" x14ac:dyDescent="0.25">
      <c r="A3" s="13" t="s">
        <v>2</v>
      </c>
      <c r="B3" s="8"/>
      <c r="C3" s="4"/>
      <c r="D3" s="4"/>
      <c r="E3" s="4"/>
      <c r="F3" s="4"/>
      <c r="G3" s="4"/>
      <c r="H3" s="4"/>
      <c r="I3" s="8"/>
      <c r="J3" s="8"/>
      <c r="K3" s="8"/>
      <c r="L3" s="4"/>
      <c r="M3" s="4"/>
      <c r="N3" s="4"/>
      <c r="O3" s="4"/>
      <c r="P3" s="1"/>
      <c r="Q3" s="4"/>
      <c r="R3" s="7"/>
      <c r="S3" s="7"/>
      <c r="T3" s="9"/>
      <c r="U3" s="9"/>
      <c r="V3" s="10"/>
      <c r="W3" s="12"/>
      <c r="X3" s="10"/>
      <c r="Y3" s="10"/>
      <c r="Z3" s="10"/>
      <c r="AA3" s="10"/>
      <c r="AB3" s="10"/>
      <c r="AC3" s="10"/>
      <c r="AD3" s="10"/>
      <c r="AE3" s="10"/>
      <c r="AF3" s="9"/>
      <c r="AG3" s="9"/>
      <c r="AH3" s="9"/>
      <c r="AI3" s="9"/>
    </row>
    <row r="4" spans="1:35" ht="23.1" customHeight="1" x14ac:dyDescent="0.25">
      <c r="A4" s="10" t="s">
        <v>3</v>
      </c>
      <c r="B4" s="8"/>
      <c r="C4" s="4"/>
      <c r="D4" s="4"/>
      <c r="E4" s="4"/>
      <c r="F4" s="4"/>
      <c r="G4" s="4"/>
      <c r="H4" s="4"/>
      <c r="I4" s="8"/>
      <c r="J4" s="8"/>
      <c r="K4" s="8"/>
      <c r="L4" s="4"/>
      <c r="M4" s="4"/>
      <c r="N4" s="4"/>
      <c r="O4" s="4"/>
      <c r="P4" s="19"/>
      <c r="Q4" s="19"/>
      <c r="R4" s="7"/>
      <c r="S4" s="7"/>
      <c r="T4" s="7"/>
      <c r="U4" s="7"/>
      <c r="V4" s="6"/>
      <c r="W4" s="5"/>
      <c r="X4" s="6"/>
      <c r="Y4" s="6"/>
      <c r="Z4" s="6"/>
      <c r="AA4" s="6"/>
      <c r="AB4" s="6"/>
      <c r="AC4" s="6"/>
      <c r="AD4" s="6"/>
      <c r="AE4" s="6"/>
      <c r="AF4" s="7"/>
      <c r="AG4" s="7"/>
      <c r="AH4" s="9"/>
      <c r="AI4" s="7"/>
    </row>
    <row r="5" spans="1:35" ht="23.1" customHeight="1" x14ac:dyDescent="0.25">
      <c r="A5" s="10" t="s">
        <v>4</v>
      </c>
      <c r="B5" s="8"/>
      <c r="C5" s="4"/>
      <c r="D5" s="4"/>
      <c r="E5" s="4"/>
      <c r="F5" s="4"/>
      <c r="G5" s="4"/>
      <c r="H5" s="4"/>
      <c r="I5" s="8"/>
      <c r="J5" s="8"/>
      <c r="K5" s="8"/>
      <c r="L5" s="4"/>
      <c r="M5" s="4"/>
      <c r="N5" s="4"/>
      <c r="O5" s="4"/>
      <c r="P5" s="4"/>
      <c r="Q5" s="4"/>
      <c r="R5" s="7"/>
      <c r="S5" s="7"/>
      <c r="T5" s="7"/>
      <c r="U5" s="7"/>
      <c r="V5" s="6"/>
      <c r="W5" s="5"/>
      <c r="X5" s="6"/>
      <c r="Y5" s="6"/>
      <c r="Z5" s="6"/>
      <c r="AA5" s="6"/>
      <c r="AB5" s="6"/>
      <c r="AC5" s="6"/>
      <c r="AD5" s="6"/>
      <c r="AE5" s="6"/>
      <c r="AF5" s="7"/>
      <c r="AG5" s="7"/>
      <c r="AH5" s="9"/>
      <c r="AI5" s="7"/>
    </row>
    <row r="6" spans="1:35" ht="23.1" customHeight="1" x14ac:dyDescent="0.25">
      <c r="A6" s="10"/>
      <c r="B6" s="8"/>
      <c r="C6" s="4"/>
      <c r="D6" s="4"/>
      <c r="E6" s="4"/>
      <c r="F6" s="4"/>
      <c r="G6" s="4"/>
      <c r="H6" s="4"/>
      <c r="I6" s="8"/>
      <c r="J6" s="8"/>
      <c r="K6" s="8"/>
      <c r="L6" s="4"/>
      <c r="M6" s="4"/>
      <c r="N6" s="4"/>
      <c r="O6" s="4"/>
      <c r="P6" s="4" t="s">
        <v>5</v>
      </c>
      <c r="Q6" s="4"/>
      <c r="R6" s="7"/>
      <c r="S6" s="7"/>
      <c r="T6" s="7"/>
      <c r="U6" s="7"/>
      <c r="V6" s="6"/>
      <c r="W6" s="5"/>
      <c r="X6" s="6"/>
      <c r="Y6" s="6"/>
      <c r="Z6" s="6"/>
      <c r="AA6" s="6"/>
      <c r="AB6" s="6"/>
      <c r="AC6" s="6"/>
      <c r="AD6" s="6"/>
      <c r="AE6" s="6"/>
      <c r="AF6" s="7"/>
      <c r="AG6" s="7"/>
      <c r="AH6" s="9"/>
      <c r="AI6" s="7"/>
    </row>
    <row r="7" spans="1:35" ht="38.1" customHeight="1" x14ac:dyDescent="0.2">
      <c r="A7" s="15" t="s">
        <v>6</v>
      </c>
      <c r="B7" s="15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8" t="s">
        <v>14</v>
      </c>
      <c r="J7" s="18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5" t="s">
        <v>22</v>
      </c>
      <c r="R7" s="15" t="s">
        <v>23</v>
      </c>
      <c r="S7" s="15" t="s">
        <v>24</v>
      </c>
      <c r="T7" s="15" t="s">
        <v>25</v>
      </c>
      <c r="U7" s="15" t="s">
        <v>26</v>
      </c>
      <c r="V7" s="15" t="s">
        <v>27</v>
      </c>
      <c r="W7" s="17" t="s">
        <v>28</v>
      </c>
      <c r="X7" s="14" t="s">
        <v>29</v>
      </c>
      <c r="Y7" s="14" t="s">
        <v>30</v>
      </c>
      <c r="Z7" s="14" t="s">
        <v>31</v>
      </c>
      <c r="AA7" s="14" t="s">
        <v>32</v>
      </c>
      <c r="AB7" s="14" t="s">
        <v>33</v>
      </c>
      <c r="AC7" s="14" t="s">
        <v>34</v>
      </c>
      <c r="AD7" s="14" t="s">
        <v>35</v>
      </c>
      <c r="AE7" s="16" t="s">
        <v>36</v>
      </c>
      <c r="AF7" s="15" t="s">
        <v>37</v>
      </c>
      <c r="AG7" s="15" t="s">
        <v>38</v>
      </c>
      <c r="AH7" s="15" t="s">
        <v>39</v>
      </c>
      <c r="AI7" s="15" t="s">
        <v>40</v>
      </c>
    </row>
    <row r="8" spans="1:35" ht="18.95" customHeight="1" x14ac:dyDescent="0.25">
      <c r="A8" s="21" t="s">
        <v>41</v>
      </c>
      <c r="B8" s="21" t="s">
        <v>42</v>
      </c>
      <c r="C8" s="21" t="s">
        <v>43</v>
      </c>
      <c r="D8" s="21" t="s">
        <v>44</v>
      </c>
      <c r="E8" s="21" t="s">
        <v>45</v>
      </c>
      <c r="F8" s="21" t="s">
        <v>154</v>
      </c>
      <c r="G8" s="21"/>
      <c r="H8" s="21" t="s">
        <v>153</v>
      </c>
      <c r="I8" s="21" t="s">
        <v>114</v>
      </c>
      <c r="J8" s="21" t="s">
        <v>127</v>
      </c>
      <c r="K8" s="21" t="s">
        <v>140</v>
      </c>
      <c r="L8" s="21" t="s">
        <v>47</v>
      </c>
      <c r="M8" s="21" t="s">
        <v>47</v>
      </c>
      <c r="N8" s="21" t="s">
        <v>47</v>
      </c>
      <c r="O8" s="21" t="s">
        <v>48</v>
      </c>
      <c r="P8" s="21" t="s">
        <v>48</v>
      </c>
      <c r="Q8" s="21"/>
      <c r="R8" s="20">
        <v>20</v>
      </c>
      <c r="S8" s="20">
        <v>1200</v>
      </c>
      <c r="T8" s="20">
        <f>R8*S8</f>
        <v>24000</v>
      </c>
      <c r="U8" s="20">
        <f>T8/1.13</f>
        <v>21238.938053097347</v>
      </c>
      <c r="V8" s="22">
        <f>SUM(W8:AE8)</f>
        <v>6.0000000000000005E-2</v>
      </c>
      <c r="W8" s="23"/>
      <c r="X8" s="24"/>
      <c r="Y8" s="23">
        <v>0.02</v>
      </c>
      <c r="Z8" s="23"/>
      <c r="AA8" s="23"/>
      <c r="AB8" s="23">
        <v>0</v>
      </c>
      <c r="AC8" s="23">
        <v>0.03</v>
      </c>
      <c r="AD8" s="23">
        <v>7.4999999999999997E-3</v>
      </c>
      <c r="AE8" s="25">
        <v>2.5000000000000001E-3</v>
      </c>
      <c r="AF8" s="20">
        <f>T8*V8</f>
        <v>1440</v>
      </c>
      <c r="AG8" s="20">
        <f>AF8/1.13</f>
        <v>1274.3362831858408</v>
      </c>
      <c r="AH8" s="20">
        <f>T8-AF8</f>
        <v>22560</v>
      </c>
      <c r="AI8" s="20">
        <f>AH8/1.13</f>
        <v>19964.601769911507</v>
      </c>
    </row>
    <row r="9" spans="1:35" ht="15" customHeight="1" x14ac:dyDescent="0.2">
      <c r="A9" s="21" t="s">
        <v>41</v>
      </c>
      <c r="B9" s="21" t="s">
        <v>42</v>
      </c>
      <c r="C9" s="21" t="s">
        <v>43</v>
      </c>
      <c r="D9" s="21" t="s">
        <v>44</v>
      </c>
      <c r="E9" s="21" t="s">
        <v>45</v>
      </c>
      <c r="F9" s="21" t="s">
        <v>154</v>
      </c>
      <c r="G9" s="21"/>
      <c r="H9" s="21" t="s">
        <v>153</v>
      </c>
      <c r="I9" s="21" t="s">
        <v>115</v>
      </c>
      <c r="J9" s="21" t="s">
        <v>128</v>
      </c>
      <c r="K9" s="21" t="s">
        <v>141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5" ht="15" customHeight="1" x14ac:dyDescent="0.2">
      <c r="A10" s="21" t="s">
        <v>41</v>
      </c>
      <c r="B10" s="21" t="s">
        <v>42</v>
      </c>
      <c r="C10" s="21" t="s">
        <v>43</v>
      </c>
      <c r="D10" s="21" t="s">
        <v>44</v>
      </c>
      <c r="E10" s="21" t="s">
        <v>45</v>
      </c>
      <c r="F10" s="21" t="s">
        <v>154</v>
      </c>
      <c r="G10" s="21"/>
      <c r="H10" s="21" t="s">
        <v>153</v>
      </c>
      <c r="I10" s="21" t="s">
        <v>116</v>
      </c>
      <c r="J10" s="21" t="s">
        <v>129</v>
      </c>
      <c r="K10" s="21" t="s">
        <v>142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spans="1:35" ht="15" customHeight="1" x14ac:dyDescent="0.2">
      <c r="A11" s="21" t="s">
        <v>41</v>
      </c>
      <c r="B11" s="21" t="s">
        <v>42</v>
      </c>
      <c r="C11" s="21" t="s">
        <v>43</v>
      </c>
      <c r="D11" s="21" t="s">
        <v>44</v>
      </c>
      <c r="E11" s="21" t="s">
        <v>45</v>
      </c>
      <c r="F11" s="21" t="s">
        <v>154</v>
      </c>
      <c r="G11" s="21"/>
      <c r="H11" s="21" t="s">
        <v>153</v>
      </c>
      <c r="I11" s="21" t="s">
        <v>117</v>
      </c>
      <c r="J11" s="21" t="s">
        <v>130</v>
      </c>
      <c r="K11" s="21" t="s">
        <v>143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spans="1:35" ht="15" customHeight="1" x14ac:dyDescent="0.2">
      <c r="A12" s="21" t="s">
        <v>41</v>
      </c>
      <c r="B12" s="21" t="s">
        <v>42</v>
      </c>
      <c r="C12" s="21" t="s">
        <v>43</v>
      </c>
      <c r="D12" s="21" t="s">
        <v>44</v>
      </c>
      <c r="E12" s="21" t="s">
        <v>45</v>
      </c>
      <c r="F12" s="21" t="s">
        <v>154</v>
      </c>
      <c r="G12" s="21"/>
      <c r="H12" s="21" t="s">
        <v>153</v>
      </c>
      <c r="I12" s="21" t="s">
        <v>118</v>
      </c>
      <c r="J12" s="21" t="s">
        <v>131</v>
      </c>
      <c r="K12" s="21" t="s">
        <v>144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spans="1:35" ht="15" customHeight="1" x14ac:dyDescent="0.2">
      <c r="A13" s="21" t="s">
        <v>41</v>
      </c>
      <c r="B13" s="21" t="s">
        <v>42</v>
      </c>
      <c r="C13" s="21" t="s">
        <v>43</v>
      </c>
      <c r="D13" s="21" t="s">
        <v>44</v>
      </c>
      <c r="E13" s="21" t="s">
        <v>45</v>
      </c>
      <c r="F13" s="21" t="s">
        <v>154</v>
      </c>
      <c r="G13" s="21"/>
      <c r="H13" s="21" t="s">
        <v>153</v>
      </c>
      <c r="I13" s="21" t="s">
        <v>119</v>
      </c>
      <c r="J13" s="21" t="s">
        <v>132</v>
      </c>
      <c r="K13" s="21" t="s">
        <v>145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" customHeight="1" x14ac:dyDescent="0.2">
      <c r="A14" s="21" t="s">
        <v>41</v>
      </c>
      <c r="B14" s="21" t="s">
        <v>42</v>
      </c>
      <c r="C14" s="21" t="s">
        <v>43</v>
      </c>
      <c r="D14" s="21" t="s">
        <v>44</v>
      </c>
      <c r="E14" s="21" t="s">
        <v>45</v>
      </c>
      <c r="F14" s="21" t="s">
        <v>154</v>
      </c>
      <c r="G14" s="21"/>
      <c r="H14" s="21" t="s">
        <v>153</v>
      </c>
      <c r="I14" s="21" t="s">
        <v>120</v>
      </c>
      <c r="J14" s="21" t="s">
        <v>133</v>
      </c>
      <c r="K14" s="21" t="s">
        <v>146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" customHeight="1" x14ac:dyDescent="0.2">
      <c r="A15" s="21" t="s">
        <v>41</v>
      </c>
      <c r="B15" s="21" t="s">
        <v>42</v>
      </c>
      <c r="C15" s="21" t="s">
        <v>43</v>
      </c>
      <c r="D15" s="21" t="s">
        <v>44</v>
      </c>
      <c r="E15" s="21" t="s">
        <v>45</v>
      </c>
      <c r="F15" s="21" t="s">
        <v>154</v>
      </c>
      <c r="G15" s="21"/>
      <c r="H15" s="21" t="s">
        <v>153</v>
      </c>
      <c r="I15" s="21" t="s">
        <v>121</v>
      </c>
      <c r="J15" s="21" t="s">
        <v>134</v>
      </c>
      <c r="K15" s="21" t="s">
        <v>147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" customHeight="1" x14ac:dyDescent="0.2">
      <c r="A16" s="21" t="s">
        <v>41</v>
      </c>
      <c r="B16" s="21" t="s">
        <v>42</v>
      </c>
      <c r="C16" s="21" t="s">
        <v>43</v>
      </c>
      <c r="D16" s="21" t="s">
        <v>44</v>
      </c>
      <c r="E16" s="21" t="s">
        <v>45</v>
      </c>
      <c r="F16" s="21" t="s">
        <v>154</v>
      </c>
      <c r="G16" s="21"/>
      <c r="H16" s="21" t="s">
        <v>153</v>
      </c>
      <c r="I16" s="21" t="s">
        <v>122</v>
      </c>
      <c r="J16" s="21" t="s">
        <v>135</v>
      </c>
      <c r="K16" s="21" t="s">
        <v>148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" customHeight="1" x14ac:dyDescent="0.2">
      <c r="A17" s="21" t="s">
        <v>41</v>
      </c>
      <c r="B17" s="21" t="s">
        <v>42</v>
      </c>
      <c r="C17" s="21" t="s">
        <v>43</v>
      </c>
      <c r="D17" s="21" t="s">
        <v>44</v>
      </c>
      <c r="E17" s="21" t="s">
        <v>45</v>
      </c>
      <c r="F17" s="21" t="s">
        <v>154</v>
      </c>
      <c r="G17" s="21"/>
      <c r="H17" s="21" t="s">
        <v>153</v>
      </c>
      <c r="I17" s="21" t="s">
        <v>123</v>
      </c>
      <c r="J17" s="21" t="s">
        <v>136</v>
      </c>
      <c r="K17" s="21" t="s">
        <v>149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" customHeight="1" x14ac:dyDescent="0.2">
      <c r="A18" s="21" t="s">
        <v>41</v>
      </c>
      <c r="B18" s="21" t="s">
        <v>42</v>
      </c>
      <c r="C18" s="21" t="s">
        <v>43</v>
      </c>
      <c r="D18" s="21" t="s">
        <v>44</v>
      </c>
      <c r="E18" s="21" t="s">
        <v>45</v>
      </c>
      <c r="F18" s="21" t="s">
        <v>154</v>
      </c>
      <c r="G18" s="21"/>
      <c r="H18" s="21" t="s">
        <v>153</v>
      </c>
      <c r="I18" s="21" t="s">
        <v>124</v>
      </c>
      <c r="J18" s="21" t="s">
        <v>137</v>
      </c>
      <c r="K18" s="21" t="s">
        <v>150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">
      <c r="A19" s="21" t="s">
        <v>41</v>
      </c>
      <c r="B19" s="21" t="s">
        <v>42</v>
      </c>
      <c r="C19" s="21" t="s">
        <v>43</v>
      </c>
      <c r="D19" s="21" t="s">
        <v>44</v>
      </c>
      <c r="E19" s="21" t="s">
        <v>45</v>
      </c>
      <c r="F19" s="21" t="s">
        <v>154</v>
      </c>
      <c r="G19" s="21"/>
      <c r="H19" s="21" t="s">
        <v>153</v>
      </c>
      <c r="I19" s="21" t="s">
        <v>125</v>
      </c>
      <c r="J19" s="21" t="s">
        <v>138</v>
      </c>
      <c r="K19" s="21" t="s">
        <v>151</v>
      </c>
    </row>
    <row r="20" spans="1:35" ht="15.75" x14ac:dyDescent="0.2">
      <c r="A20" s="21" t="s">
        <v>41</v>
      </c>
      <c r="B20" s="21" t="s">
        <v>42</v>
      </c>
      <c r="C20" s="21" t="s">
        <v>43</v>
      </c>
      <c r="D20" s="21" t="s">
        <v>44</v>
      </c>
      <c r="E20" s="21" t="s">
        <v>45</v>
      </c>
      <c r="F20" s="21" t="s">
        <v>154</v>
      </c>
      <c r="G20" s="21"/>
      <c r="H20" s="21" t="s">
        <v>153</v>
      </c>
      <c r="I20" s="21" t="s">
        <v>126</v>
      </c>
      <c r="J20" s="21" t="s">
        <v>139</v>
      </c>
      <c r="K20" s="21" t="s">
        <v>152</v>
      </c>
    </row>
    <row r="21" spans="1:35" ht="15.75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35" ht="15.75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35" ht="15.75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5" spans="1:35" x14ac:dyDescent="0.2">
      <c r="J25" t="s">
        <v>155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AC15-FD04-4A5F-8DAE-A3E969879676}">
  <sheetPr>
    <outlinePr summaryBelow="0" summaryRight="0"/>
  </sheetPr>
  <dimension ref="A1:T26"/>
  <sheetViews>
    <sheetView showGridLines="0" workbookViewId="0">
      <selection activeCell="F7" sqref="F7"/>
    </sheetView>
  </sheetViews>
  <sheetFormatPr defaultColWidth="14" defaultRowHeight="12.75" x14ac:dyDescent="0.2"/>
  <cols>
    <col min="1" max="2" width="12" customWidth="1"/>
    <col min="3" max="3" width="7" customWidth="1"/>
    <col min="4" max="4" width="12" customWidth="1"/>
    <col min="5" max="5" width="7" customWidth="1"/>
    <col min="6" max="6" width="19" customWidth="1"/>
    <col min="7" max="7" width="12" customWidth="1"/>
    <col min="8" max="8" width="7" customWidth="1"/>
    <col min="9" max="9" width="10" customWidth="1"/>
    <col min="10" max="10" width="7" customWidth="1"/>
    <col min="11" max="11" width="10" customWidth="1"/>
    <col min="12" max="12" width="7" customWidth="1"/>
    <col min="13" max="15" width="10" customWidth="1"/>
    <col min="16" max="17" width="8" customWidth="1"/>
    <col min="18" max="18" width="14" customWidth="1"/>
    <col min="19" max="19" width="11" customWidth="1"/>
    <col min="20" max="20" width="10" customWidth="1"/>
  </cols>
  <sheetData>
    <row r="1" spans="1:20" ht="18.95" customHeight="1" x14ac:dyDescent="0.2">
      <c r="A1" s="29" t="s">
        <v>49</v>
      </c>
      <c r="B1" s="29"/>
      <c r="C1" s="26"/>
      <c r="D1" s="29" t="s">
        <v>9</v>
      </c>
      <c r="E1" s="26"/>
      <c r="F1" s="29" t="s">
        <v>50</v>
      </c>
      <c r="G1" s="26"/>
      <c r="H1" s="26"/>
      <c r="I1" s="29" t="s">
        <v>51</v>
      </c>
      <c r="J1" s="26"/>
      <c r="K1" s="26"/>
      <c r="L1" s="29" t="s">
        <v>20</v>
      </c>
      <c r="M1" s="26"/>
      <c r="N1" s="29" t="s">
        <v>21</v>
      </c>
      <c r="O1" s="26"/>
      <c r="P1" s="29"/>
      <c r="Q1" s="26"/>
      <c r="R1" s="26"/>
      <c r="S1" s="26"/>
      <c r="T1" s="26"/>
    </row>
    <row r="2" spans="1:20" ht="18.95" customHeight="1" x14ac:dyDescent="0.2">
      <c r="A2" s="31" t="s">
        <v>8</v>
      </c>
      <c r="B2" s="31" t="s">
        <v>7</v>
      </c>
      <c r="C2" s="26"/>
      <c r="D2" s="31" t="s">
        <v>9</v>
      </c>
      <c r="E2" s="26"/>
      <c r="F2" s="31" t="s">
        <v>11</v>
      </c>
      <c r="G2" s="31" t="s">
        <v>10</v>
      </c>
      <c r="H2" s="26"/>
      <c r="I2" s="31" t="s">
        <v>52</v>
      </c>
      <c r="J2" s="31" t="s">
        <v>53</v>
      </c>
      <c r="K2" s="26"/>
      <c r="L2" s="31" t="s">
        <v>20</v>
      </c>
      <c r="M2" s="26"/>
      <c r="N2" s="31" t="s">
        <v>20</v>
      </c>
      <c r="O2" s="26"/>
      <c r="P2" s="31"/>
      <c r="Q2" s="31"/>
      <c r="R2" s="31"/>
      <c r="S2" s="31"/>
      <c r="T2" s="26"/>
    </row>
    <row r="3" spans="1:20" ht="18.95" customHeight="1" x14ac:dyDescent="0.2">
      <c r="A3" s="27" t="s">
        <v>43</v>
      </c>
      <c r="B3" s="27" t="s">
        <v>42</v>
      </c>
      <c r="C3" s="26"/>
      <c r="D3" s="27" t="s">
        <v>54</v>
      </c>
      <c r="E3" s="26"/>
      <c r="F3" s="27" t="s">
        <v>54</v>
      </c>
      <c r="G3" s="27" t="s">
        <v>54</v>
      </c>
      <c r="H3" s="26"/>
      <c r="I3" s="27" t="s">
        <v>55</v>
      </c>
      <c r="J3" s="27" t="s">
        <v>56</v>
      </c>
      <c r="K3" s="26"/>
      <c r="L3" s="27" t="s">
        <v>57</v>
      </c>
      <c r="M3" s="26"/>
      <c r="N3" s="27" t="s">
        <v>58</v>
      </c>
      <c r="O3" s="26"/>
      <c r="P3" s="27"/>
      <c r="Q3" s="27"/>
      <c r="R3" s="27"/>
      <c r="S3" s="27"/>
      <c r="T3" s="26"/>
    </row>
    <row r="4" spans="1:20" ht="18.95" customHeight="1" x14ac:dyDescent="0.2">
      <c r="A4" s="27" t="s">
        <v>59</v>
      </c>
      <c r="B4" s="27" t="s">
        <v>42</v>
      </c>
      <c r="C4" s="26"/>
      <c r="D4" s="27" t="s">
        <v>44</v>
      </c>
      <c r="E4" s="26"/>
      <c r="F4" s="27" t="s">
        <v>60</v>
      </c>
      <c r="G4" s="27" t="s">
        <v>45</v>
      </c>
      <c r="H4" s="26"/>
      <c r="I4" s="28" t="s">
        <v>61</v>
      </c>
      <c r="J4" s="28" t="s">
        <v>62</v>
      </c>
      <c r="K4" s="26"/>
      <c r="L4" s="27" t="s">
        <v>63</v>
      </c>
      <c r="M4" s="26"/>
      <c r="N4" s="27" t="s">
        <v>64</v>
      </c>
      <c r="O4" s="26"/>
      <c r="P4" s="27"/>
      <c r="Q4" s="27"/>
      <c r="R4" s="27"/>
      <c r="S4" s="27"/>
      <c r="T4" s="26"/>
    </row>
    <row r="5" spans="1:20" ht="18.95" customHeight="1" x14ac:dyDescent="0.2">
      <c r="A5" s="27" t="s">
        <v>65</v>
      </c>
      <c r="B5" s="27" t="s">
        <v>42</v>
      </c>
      <c r="C5" s="26"/>
      <c r="D5" s="26"/>
      <c r="E5" s="26"/>
      <c r="F5" s="27" t="s">
        <v>66</v>
      </c>
      <c r="G5" s="27" t="s">
        <v>45</v>
      </c>
      <c r="H5" s="26"/>
      <c r="I5" s="28" t="s">
        <v>67</v>
      </c>
      <c r="J5" s="28" t="s">
        <v>62</v>
      </c>
      <c r="K5" s="26"/>
      <c r="L5" s="27" t="s">
        <v>68</v>
      </c>
      <c r="M5" s="26"/>
      <c r="N5" s="27" t="s">
        <v>69</v>
      </c>
      <c r="O5" s="26"/>
      <c r="P5" s="27"/>
      <c r="Q5" s="27"/>
      <c r="R5" s="27"/>
      <c r="S5" s="27"/>
      <c r="T5" s="26"/>
    </row>
    <row r="6" spans="1:20" ht="18.95" customHeight="1" x14ac:dyDescent="0.2">
      <c r="A6" s="27" t="s">
        <v>70</v>
      </c>
      <c r="B6" s="27" t="s">
        <v>71</v>
      </c>
      <c r="C6" s="26"/>
      <c r="D6" s="26"/>
      <c r="E6" s="26"/>
      <c r="F6" s="27" t="s">
        <v>72</v>
      </c>
      <c r="G6" s="27" t="s">
        <v>45</v>
      </c>
      <c r="H6" s="26"/>
      <c r="I6" s="28" t="s">
        <v>73</v>
      </c>
      <c r="J6" s="28" t="s">
        <v>62</v>
      </c>
      <c r="K6" s="26"/>
      <c r="L6" s="26"/>
      <c r="M6" s="26"/>
      <c r="N6" s="26"/>
      <c r="O6" s="26"/>
      <c r="P6" s="27"/>
      <c r="Q6" s="27"/>
      <c r="R6" s="27"/>
      <c r="S6" s="27"/>
      <c r="T6" s="26"/>
    </row>
    <row r="7" spans="1:20" ht="18.95" customHeight="1" x14ac:dyDescent="0.2">
      <c r="A7" s="27" t="s">
        <v>74</v>
      </c>
      <c r="B7" s="27" t="s">
        <v>71</v>
      </c>
      <c r="C7" s="26"/>
      <c r="D7" s="26"/>
      <c r="E7" s="26"/>
      <c r="F7" s="27" t="s">
        <v>75</v>
      </c>
      <c r="G7" s="27" t="s">
        <v>45</v>
      </c>
      <c r="H7" s="26"/>
      <c r="I7" s="30" t="s">
        <v>76</v>
      </c>
      <c r="J7" s="28" t="s">
        <v>62</v>
      </c>
      <c r="K7" s="26"/>
      <c r="L7" s="26"/>
      <c r="M7" s="26"/>
      <c r="N7" s="26"/>
      <c r="O7" s="26"/>
      <c r="P7" s="27"/>
      <c r="Q7" s="27"/>
      <c r="R7" s="27"/>
      <c r="S7" s="27"/>
      <c r="T7" s="26"/>
    </row>
    <row r="8" spans="1:20" ht="18.95" customHeight="1" x14ac:dyDescent="0.2">
      <c r="A8" s="27" t="s">
        <v>77</v>
      </c>
      <c r="B8" s="27" t="s">
        <v>71</v>
      </c>
      <c r="C8" s="26"/>
      <c r="D8" s="26"/>
      <c r="E8" s="26"/>
      <c r="F8" s="27" t="s">
        <v>78</v>
      </c>
      <c r="G8" s="27" t="s">
        <v>45</v>
      </c>
      <c r="H8" s="26"/>
      <c r="I8" s="27" t="s">
        <v>79</v>
      </c>
      <c r="J8" s="27" t="s">
        <v>80</v>
      </c>
      <c r="K8" s="26"/>
      <c r="L8" s="26"/>
      <c r="M8" s="26"/>
      <c r="N8" s="26"/>
      <c r="O8" s="26"/>
      <c r="P8" s="27"/>
      <c r="Q8" s="27"/>
      <c r="R8" s="27"/>
      <c r="S8" s="27"/>
      <c r="T8" s="26"/>
    </row>
    <row r="9" spans="1:20" ht="18.95" customHeight="1" x14ac:dyDescent="0.2">
      <c r="A9" s="27" t="s">
        <v>81</v>
      </c>
      <c r="B9" s="27" t="s">
        <v>82</v>
      </c>
      <c r="C9" s="26"/>
      <c r="D9" s="26"/>
      <c r="E9" s="26"/>
      <c r="F9" s="27" t="s">
        <v>46</v>
      </c>
      <c r="G9" s="27" t="s">
        <v>45</v>
      </c>
      <c r="H9" s="26"/>
      <c r="I9" s="27" t="s">
        <v>83</v>
      </c>
      <c r="J9" s="27" t="s">
        <v>80</v>
      </c>
      <c r="K9" s="26"/>
      <c r="L9" s="26"/>
      <c r="M9" s="26"/>
      <c r="N9" s="26"/>
      <c r="O9" s="26"/>
      <c r="P9" s="27"/>
      <c r="Q9" s="27"/>
      <c r="R9" s="27"/>
      <c r="S9" s="27"/>
      <c r="T9" s="26"/>
    </row>
    <row r="10" spans="1:20" ht="18.95" customHeight="1" x14ac:dyDescent="0.2">
      <c r="A10" s="27" t="s">
        <v>84</v>
      </c>
      <c r="B10" s="27" t="s">
        <v>82</v>
      </c>
      <c r="C10" s="26"/>
      <c r="D10" s="26"/>
      <c r="E10" s="26"/>
      <c r="F10" s="27" t="s">
        <v>85</v>
      </c>
      <c r="G10" s="27" t="s">
        <v>45</v>
      </c>
      <c r="H10" s="26"/>
      <c r="I10" s="27" t="s">
        <v>86</v>
      </c>
      <c r="J10" s="27" t="s">
        <v>80</v>
      </c>
      <c r="K10" s="26"/>
      <c r="L10" s="26"/>
      <c r="M10" s="26"/>
      <c r="N10" s="26"/>
      <c r="O10" s="26"/>
      <c r="P10" s="27"/>
      <c r="Q10" s="27"/>
      <c r="R10" s="27"/>
      <c r="S10" s="27"/>
      <c r="T10" s="26"/>
    </row>
    <row r="11" spans="1:20" ht="18.95" customHeight="1" x14ac:dyDescent="0.2">
      <c r="A11" s="27" t="s">
        <v>87</v>
      </c>
      <c r="B11" s="27" t="s">
        <v>82</v>
      </c>
      <c r="C11" s="26"/>
      <c r="D11" s="26"/>
      <c r="E11" s="26"/>
      <c r="F11" s="27" t="s">
        <v>88</v>
      </c>
      <c r="G11" s="27" t="s">
        <v>45</v>
      </c>
      <c r="H11" s="26"/>
      <c r="I11" s="27" t="s">
        <v>89</v>
      </c>
      <c r="J11" s="27" t="s">
        <v>80</v>
      </c>
      <c r="K11" s="26"/>
      <c r="L11" s="26"/>
      <c r="M11" s="26"/>
      <c r="N11" s="26"/>
      <c r="O11" s="26"/>
      <c r="P11" s="27"/>
      <c r="Q11" s="27"/>
      <c r="R11" s="27"/>
      <c r="S11" s="27"/>
      <c r="T11" s="26"/>
    </row>
    <row r="12" spans="1:20" ht="18.95" customHeight="1" x14ac:dyDescent="0.2">
      <c r="A12" s="27" t="s">
        <v>90</v>
      </c>
      <c r="B12" s="27" t="s">
        <v>91</v>
      </c>
      <c r="C12" s="26"/>
      <c r="D12" s="26"/>
      <c r="E12" s="26"/>
      <c r="F12" s="27" t="s">
        <v>92</v>
      </c>
      <c r="G12" s="27" t="s">
        <v>45</v>
      </c>
      <c r="H12" s="26"/>
      <c r="I12" s="27" t="s">
        <v>93</v>
      </c>
      <c r="J12" s="27" t="s">
        <v>80</v>
      </c>
      <c r="K12" s="26"/>
      <c r="L12" s="26"/>
      <c r="M12" s="26"/>
      <c r="N12" s="26"/>
      <c r="O12" s="26"/>
      <c r="P12" s="27"/>
      <c r="Q12" s="27"/>
      <c r="R12" s="27"/>
      <c r="S12" s="27"/>
      <c r="T12" s="26"/>
    </row>
    <row r="13" spans="1:20" ht="18.95" customHeight="1" x14ac:dyDescent="0.2">
      <c r="A13" s="27" t="s">
        <v>94</v>
      </c>
      <c r="B13" s="27" t="s">
        <v>91</v>
      </c>
      <c r="C13" s="26"/>
      <c r="D13" s="26"/>
      <c r="E13" s="26"/>
      <c r="F13" s="27" t="s">
        <v>95</v>
      </c>
      <c r="G13" s="27" t="s">
        <v>96</v>
      </c>
      <c r="H13" s="26"/>
      <c r="I13" s="27" t="s">
        <v>97</v>
      </c>
      <c r="J13" s="27" t="s">
        <v>80</v>
      </c>
      <c r="K13" s="26"/>
      <c r="L13" s="26"/>
      <c r="M13" s="26"/>
      <c r="N13" s="26"/>
      <c r="O13" s="26"/>
      <c r="P13" s="27"/>
      <c r="Q13" s="27"/>
      <c r="R13" s="27"/>
      <c r="S13" s="27"/>
      <c r="T13" s="26"/>
    </row>
    <row r="14" spans="1:20" ht="18.95" customHeight="1" x14ac:dyDescent="0.2">
      <c r="A14" s="27" t="s">
        <v>98</v>
      </c>
      <c r="B14" s="27" t="s">
        <v>91</v>
      </c>
      <c r="C14" s="26"/>
      <c r="D14" s="26"/>
      <c r="E14" s="26"/>
      <c r="F14" s="27" t="s">
        <v>99</v>
      </c>
      <c r="G14" s="27" t="s">
        <v>96</v>
      </c>
      <c r="H14" s="26"/>
      <c r="I14" s="27" t="s">
        <v>47</v>
      </c>
      <c r="J14" s="27" t="s">
        <v>80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1:20" ht="18.95" customHeight="1" x14ac:dyDescent="0.2">
      <c r="A15" s="26"/>
      <c r="B15" s="26"/>
      <c r="C15" s="26"/>
      <c r="D15" s="26"/>
      <c r="E15" s="26"/>
      <c r="F15" s="27" t="s">
        <v>100</v>
      </c>
      <c r="G15" s="27" t="s">
        <v>96</v>
      </c>
      <c r="H15" s="26"/>
      <c r="I15" s="28" t="s">
        <v>101</v>
      </c>
      <c r="J15" s="28" t="s">
        <v>80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 spans="1:20" ht="18.95" customHeight="1" x14ac:dyDescent="0.2">
      <c r="A16" s="26"/>
      <c r="B16" s="26"/>
      <c r="C16" s="26"/>
      <c r="D16" s="26"/>
      <c r="E16" s="26"/>
      <c r="F16" s="28" t="s">
        <v>102</v>
      </c>
      <c r="G16" s="28" t="s">
        <v>96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r="17" spans="1:20" ht="18.95" customHeight="1" x14ac:dyDescent="0.2">
      <c r="A17" s="26"/>
      <c r="B17" s="26"/>
      <c r="C17" s="26"/>
      <c r="D17" s="26"/>
      <c r="E17" s="26"/>
      <c r="F17" s="28" t="s">
        <v>103</v>
      </c>
      <c r="G17" s="28" t="s">
        <v>96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1:20" ht="18.95" customHeight="1" x14ac:dyDescent="0.2">
      <c r="A18" s="26"/>
      <c r="B18" s="26"/>
      <c r="C18" s="26"/>
      <c r="D18" s="26"/>
      <c r="E18" s="26"/>
      <c r="F18" s="28" t="s">
        <v>104</v>
      </c>
      <c r="G18" s="28" t="s">
        <v>96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</row>
    <row r="19" spans="1:20" ht="18.95" customHeight="1" x14ac:dyDescent="0.2">
      <c r="A19" s="26"/>
      <c r="B19" s="26"/>
      <c r="C19" s="26"/>
      <c r="D19" s="26"/>
      <c r="E19" s="26"/>
      <c r="F19" s="28" t="s">
        <v>105</v>
      </c>
      <c r="G19" s="28" t="s">
        <v>106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</row>
    <row r="20" spans="1:20" ht="18.95" customHeight="1" x14ac:dyDescent="0.2">
      <c r="A20" s="26"/>
      <c r="B20" s="26"/>
      <c r="C20" s="26"/>
      <c r="D20" s="26"/>
      <c r="E20" s="26"/>
      <c r="F20" s="28" t="s">
        <v>107</v>
      </c>
      <c r="G20" s="28" t="s">
        <v>106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</row>
    <row r="21" spans="1:20" ht="18.95" customHeight="1" x14ac:dyDescent="0.2">
      <c r="A21" s="26"/>
      <c r="B21" s="26"/>
      <c r="C21" s="26"/>
      <c r="D21" s="26"/>
      <c r="E21" s="26"/>
      <c r="F21" s="28" t="s">
        <v>108</v>
      </c>
      <c r="G21" s="28" t="s">
        <v>106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r="22" spans="1:20" ht="18.95" customHeight="1" x14ac:dyDescent="0.2">
      <c r="A22" s="26"/>
      <c r="B22" s="26"/>
      <c r="C22" s="26"/>
      <c r="D22" s="26"/>
      <c r="E22" s="26"/>
      <c r="F22" s="28" t="s">
        <v>109</v>
      </c>
      <c r="G22" s="28" t="s">
        <v>106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1:20" ht="18.95" customHeight="1" x14ac:dyDescent="0.2">
      <c r="A23" s="26"/>
      <c r="B23" s="26"/>
      <c r="C23" s="26"/>
      <c r="D23" s="26"/>
      <c r="E23" s="26"/>
      <c r="F23" s="28" t="s">
        <v>110</v>
      </c>
      <c r="G23" s="28" t="s">
        <v>106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0" ht="18.95" customHeight="1" x14ac:dyDescent="0.2">
      <c r="A24" s="26"/>
      <c r="B24" s="26"/>
      <c r="C24" s="26"/>
      <c r="D24" s="26"/>
      <c r="E24" s="26"/>
      <c r="F24" s="28" t="s">
        <v>111</v>
      </c>
      <c r="G24" s="28" t="s">
        <v>106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</row>
    <row r="25" spans="1:20" ht="18.95" customHeight="1" x14ac:dyDescent="0.2">
      <c r="A25" s="26"/>
      <c r="B25" s="26"/>
      <c r="C25" s="26"/>
      <c r="D25" s="26"/>
      <c r="E25" s="26"/>
      <c r="F25" s="28" t="s">
        <v>112</v>
      </c>
      <c r="G25" s="28" t="s">
        <v>106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spans="1:20" ht="18.95" customHeight="1" x14ac:dyDescent="0.2">
      <c r="A26" s="26"/>
      <c r="B26" s="26"/>
      <c r="C26" s="26"/>
      <c r="D26" s="26"/>
      <c r="E26" s="26"/>
      <c r="F26" s="28" t="s">
        <v>113</v>
      </c>
      <c r="G26" s="28" t="s">
        <v>106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销售预算明细</vt:lpstr>
      <vt:lpstr>映射集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俊生 罗</cp:lastModifiedBy>
  <dcterms:created xsi:type="dcterms:W3CDTF">2025-11-11T03:26:31Z</dcterms:created>
  <dcterms:modified xsi:type="dcterms:W3CDTF">2025-11-11T03:26:31Z</dcterms:modified>
</cp:coreProperties>
</file>