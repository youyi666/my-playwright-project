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Users\Administrator\my-playwright-project\download_playwright\exc_data\映射_平台商品\"/>
    </mc:Choice>
  </mc:AlternateContent>
  <xr:revisionPtr revIDLastSave="0" documentId="13_ncr:1_{7D222825-9B7F-4567-884D-CC46ABB100CC}" xr6:coauthVersionLast="47" xr6:coauthVersionMax="47" xr10:uidLastSave="{00000000-0000-0000-0000-000000000000}"/>
  <bookViews>
    <workbookView xWindow="0" yWindow="360" windowWidth="29040" windowHeight="15720" tabRatio="705" activeTab="5" xr2:uid="{00000000-000D-0000-FFFF-FFFF00000000}"/>
  </bookViews>
  <sheets>
    <sheet name="Sheet1" sheetId="1" r:id="rId1"/>
    <sheet name="店铺表2" sheetId="3" r:id="rId2"/>
    <sheet name="店铺表3" sheetId="17" r:id="rId3"/>
    <sheet name="监控表副本" sheetId="4" r:id="rId4"/>
    <sheet name="ACT" sheetId="13" r:id="rId5"/>
    <sheet name="products1" sheetId="11" r:id="rId6"/>
    <sheet name="Sheet2" sheetId="18" r:id="rId7"/>
    <sheet name="Sheet3" sheetId="19" r:id="rId8"/>
  </sheets>
  <externalReferences>
    <externalReference r:id="rId9"/>
  </externalReferences>
  <definedNames>
    <definedName name="_xlnm._FilterDatabase" localSheetId="4" hidden="1">ACT!$A$1:$F$1</definedName>
    <definedName name="_xlnm._FilterDatabase" localSheetId="5" hidden="1">products1!$A$1:$H$23</definedName>
    <definedName name="_xlnm._FilterDatabase" localSheetId="0" hidden="1">Sheet1!$A$1:$F$1</definedName>
    <definedName name="_xlnm._FilterDatabase" localSheetId="1" hidden="1">店铺表2!$A$1:$P$562</definedName>
  </definedNames>
  <calcPr calcId="181029"/>
</workbook>
</file>

<file path=xl/calcChain.xml><?xml version="1.0" encoding="utf-8"?>
<calcChain xmlns="http://schemas.openxmlformats.org/spreadsheetml/2006/main">
  <c r="G36" i="17" l="1"/>
  <c r="C445" i="3" l="1"/>
  <c r="C440" i="3"/>
  <c r="C181" i="3"/>
  <c r="C172" i="3"/>
  <c r="C375" i="3"/>
  <c r="F13" i="13" l="1"/>
  <c r="F18" i="13"/>
  <c r="F17" i="13"/>
  <c r="F19" i="13"/>
  <c r="F5" i="13"/>
  <c r="F4" i="13"/>
  <c r="F9" i="13"/>
  <c r="F8" i="13"/>
  <c r="F15" i="13"/>
  <c r="F7" i="13"/>
  <c r="F14" i="13"/>
  <c r="F11" i="13"/>
  <c r="F6" i="13"/>
  <c r="E13" i="13"/>
  <c r="E18" i="13"/>
  <c r="E17" i="13"/>
  <c r="E19" i="13"/>
  <c r="E5" i="13"/>
  <c r="E4" i="13"/>
  <c r="E9" i="13"/>
  <c r="E8" i="13"/>
  <c r="E15" i="13"/>
  <c r="E7" i="13"/>
  <c r="E14" i="13"/>
  <c r="E11" i="13"/>
  <c r="E6" i="13"/>
</calcChain>
</file>

<file path=xl/sharedStrings.xml><?xml version="1.0" encoding="utf-8"?>
<sst xmlns="http://schemas.openxmlformats.org/spreadsheetml/2006/main" count="3287" uniqueCount="1999">
  <si>
    <t>Platform</t>
  </si>
  <si>
    <t>ProductID</t>
  </si>
  <si>
    <t>ProductName</t>
  </si>
  <si>
    <t>URL</t>
  </si>
  <si>
    <t>SKUsToScrape</t>
  </si>
  <si>
    <t>京东</t>
  </si>
  <si>
    <t>6923185653516</t>
  </si>
  <si>
    <t>6923185649762</t>
  </si>
  <si>
    <t>6923185605379</t>
  </si>
  <si>
    <t>6923185649229</t>
  </si>
  <si>
    <t>6923185613664</t>
  </si>
  <si>
    <t>6923185650973</t>
  </si>
  <si>
    <t>6923185611233</t>
  </si>
  <si>
    <t>6923185604303</t>
  </si>
  <si>
    <t>6923185610410</t>
  </si>
  <si>
    <t>6923185614920</t>
  </si>
  <si>
    <t>6923185602224</t>
  </si>
  <si>
    <t>6923185611226</t>
  </si>
  <si>
    <t>6923185654377</t>
  </si>
  <si>
    <t>6923185654643</t>
  </si>
  <si>
    <t>6923185654667</t>
  </si>
  <si>
    <t>6923185654650</t>
  </si>
  <si>
    <t>6923185655381</t>
  </si>
  <si>
    <t>6923185654599</t>
  </si>
  <si>
    <t>6923185610250</t>
  </si>
  <si>
    <t>6923185656135</t>
  </si>
  <si>
    <t>6923185655688</t>
  </si>
  <si>
    <t>https://mobile.yangkeduo.com/goods.html?goods_id=205451808289</t>
  </si>
  <si>
    <t>https://mobile.yangkeduo.com/goods.html?goods_id=436320010098</t>
  </si>
  <si>
    <t>https://mobile.yangkeduo.com/goods.html?goods_id=738372436858</t>
  </si>
  <si>
    <t>https://mobile.yangkeduo.com/goods.html?goods_id=484037745334</t>
  </si>
  <si>
    <t>https://mobile.yangkeduo.com/goods.html?goods_id=756449819265</t>
  </si>
  <si>
    <t>https://mobile.yangkeduo.com/goods.html?goods_id=657344402006</t>
  </si>
  <si>
    <t>https://mobile.yangkeduo.com/goods.html?goods_id=763759392708</t>
  </si>
  <si>
    <t>https://mobile.yangkeduo.com/goods.html?goods_id=220820325711</t>
  </si>
  <si>
    <t>https://mobile.yangkeduo.com/goods.html?goods_id=710063036890</t>
  </si>
  <si>
    <t>https://mobile.yangkeduo.com/goods.html?goods_id=216845252864</t>
  </si>
  <si>
    <t>https://mobile.yangkeduo.com/goods.html?goods_id=773161065181</t>
  </si>
  <si>
    <t>https://mobile.yangkeduo.com/goods.html?goods_id=657332839161</t>
  </si>
  <si>
    <t>https://mobile.yangkeduo.com/goods.html?goods_id=750412983827</t>
  </si>
  <si>
    <t>https://mobile.yangkeduo.com/goods.html?goods_id=783328258611</t>
  </si>
  <si>
    <t>多多百补商品</t>
    <phoneticPr fontId="3" type="noConversion"/>
  </si>
  <si>
    <t>是</t>
    <phoneticPr fontId="3" type="noConversion"/>
  </si>
  <si>
    <t>6923185653684</t>
    <phoneticPr fontId="3" type="noConversion"/>
  </si>
  <si>
    <t>6923185654865</t>
  </si>
  <si>
    <t>6923185654865</t>
    <phoneticPr fontId="3" type="noConversion"/>
  </si>
  <si>
    <t>小海豚600G+</t>
  </si>
  <si>
    <t>6923185649885</t>
  </si>
  <si>
    <t>6923185651772</t>
  </si>
  <si>
    <t>364990106384</t>
  </si>
  <si>
    <t>商品名称</t>
  </si>
  <si>
    <t>云米 AI净水器小海豚2</t>
  </si>
  <si>
    <t>6975525840551</t>
  </si>
  <si>
    <t>6923185611844</t>
  </si>
  <si>
    <t>6923185652953</t>
  </si>
  <si>
    <t>6923185652786</t>
  </si>
  <si>
    <t>6923185652793</t>
  </si>
  <si>
    <t>6923185653387</t>
  </si>
  <si>
    <t>6923185650935</t>
  </si>
  <si>
    <t>6923185611882</t>
  </si>
  <si>
    <t>6923185617648</t>
  </si>
  <si>
    <t>S2409261025001</t>
  </si>
  <si>
    <t>6923185654537</t>
  </si>
  <si>
    <t>6923185654759</t>
  </si>
  <si>
    <t>6923185651123</t>
  </si>
  <si>
    <t>6923185620136</t>
  </si>
  <si>
    <t>6923185652823</t>
  </si>
  <si>
    <t>6923185653493</t>
  </si>
  <si>
    <t>6923185653462</t>
  </si>
  <si>
    <t>6923185651093</t>
  </si>
  <si>
    <t>6923185606314</t>
  </si>
  <si>
    <t>6923185680956</t>
  </si>
  <si>
    <t>S2312221408001</t>
  </si>
  <si>
    <t>S2309251651001</t>
  </si>
  <si>
    <t>6923185651345</t>
  </si>
  <si>
    <t>6923185605195</t>
  </si>
  <si>
    <t>6923185601104</t>
  </si>
  <si>
    <t>6923185652816</t>
  </si>
  <si>
    <t>6923185651000</t>
  </si>
  <si>
    <t>6923185680758</t>
  </si>
  <si>
    <t>6923185651116</t>
  </si>
  <si>
    <t>6923185603221</t>
  </si>
  <si>
    <t>6923185614258</t>
  </si>
  <si>
    <t>6923185650645</t>
  </si>
  <si>
    <t>6923185614180</t>
  </si>
  <si>
    <t>6923185616375</t>
  </si>
  <si>
    <t>6923185619796</t>
  </si>
  <si>
    <t>6923185681052</t>
  </si>
  <si>
    <t>【母婴直饮】云米净水器 SE 600G+ 新升级厨下式RO反渗透直饮家用</t>
  </si>
  <si>
    <t>商品ID</t>
  </si>
  <si>
    <t>商品编码</t>
  </si>
  <si>
    <t>资源位</t>
  </si>
  <si>
    <t>价格(元)</t>
  </si>
  <si>
    <t>总库存</t>
  </si>
  <si>
    <t>收藏数</t>
  </si>
  <si>
    <t>累计销量</t>
  </si>
  <si>
    <t>30日销量</t>
  </si>
  <si>
    <t>商品体检分</t>
  </si>
  <si>
    <t>创建时间</t>
  </si>
  <si>
    <t>云米无线手持吸尘器家用立式除螨大吸力吸尘机A9长续航宠物家庭</t>
  </si>
  <si>
    <t>无</t>
  </si>
  <si>
    <t>未体检</t>
  </si>
  <si>
    <t>云米净水器滤芯小海豚2 1000G 专用复合一体芯RO反渗透滤芯过滤</t>
  </si>
  <si>
    <t>即将上榜</t>
  </si>
  <si>
    <t>百亿补贴, 畅销榜第5名</t>
  </si>
  <si>
    <t>原价: 1099 活动价: 799</t>
  </si>
  <si>
    <t>云米双腔大吸力手势控制智清洁油烟机聚能猛火灶安全烟灶联动套装</t>
  </si>
  <si>
    <t>暂无编码</t>
  </si>
  <si>
    <t>同价上首页, 百亿补贴</t>
  </si>
  <si>
    <t>原价: 1399 活动价: 1199</t>
  </si>
  <si>
    <t>原价: 1499 活动价: 1299</t>
  </si>
  <si>
    <t>【全屋两件套】云米厨下式RO反渗透直饮家用净水器SE 600G+套装</t>
  </si>
  <si>
    <t>云米智能小鲸鱼马桶盖全自动即热恒温带烘干坐垫圈抗菌除臭自清洗</t>
  </si>
  <si>
    <t>大促活动</t>
  </si>
  <si>
    <t>原价: 999 活动价: 899.1</t>
  </si>
  <si>
    <t>云米全自动智能门锁人脸猫眼密码指纹安全防撬大屏锁已接入米家AP</t>
  </si>
  <si>
    <t>同价上首页, 百亿补贴, 品牌好价, 预售</t>
  </si>
  <si>
    <t>原价: 1299 活动价: 849</t>
  </si>
  <si>
    <t>云米燃气热水器增压水伺服恒温省气抗风节能排气16L已接入米家APP</t>
  </si>
  <si>
    <t>原价: 1799 活动价: 1498</t>
  </si>
  <si>
    <t>云米智能开关super单火零火蓝牙双控多控零火线供电LED灯稳定耐用</t>
  </si>
  <si>
    <t>249～329</t>
  </si>
  <si>
    <t>云米3200W电热水器智能抑菌速热节能一级能效增容已接入米家app</t>
  </si>
  <si>
    <t>799～899</t>
  </si>
  <si>
    <t>云米智能电热水器3200W节能变频增容速热家用浴室洗澡抑菌50L/60L</t>
  </si>
  <si>
    <t>759～859</t>
  </si>
  <si>
    <t>云米超薄零嵌510L大容量冰箱美妆舱底部散热一级变频双开门风冷</t>
  </si>
  <si>
    <t>同价上首页</t>
  </si>
  <si>
    <t>原价: 3199 活动价: 2789</t>
  </si>
  <si>
    <t>云米鲲鹏PRO烟机28m³大吸力聚能猛火灶一级能效烟灶联动厨电套装</t>
  </si>
  <si>
    <t>原价: 2899 活动价: 2499</t>
  </si>
  <si>
    <t>云米多功能冰沙机可做冰淇淋大容量轻音果汁牛奶速成冰沙可自清洁</t>
  </si>
  <si>
    <t>原价: 2199 活动价: 1699</t>
  </si>
  <si>
    <t>云米智能烘干晾衣架语音声控离线全自动升降阳台LED照明Smart超薄</t>
  </si>
  <si>
    <t>原价: 1299 活动价: 989</t>
  </si>
  <si>
    <t>云米掌静脉全自动智能门锁人脸猫眼童锁指纹密码蓝牙安全高清大屏</t>
  </si>
  <si>
    <t>云米AI燃气热水器 智控恒温防冻节能安全水质净化精准控温13L强排</t>
  </si>
  <si>
    <t>同价上首页, 百亿补贴, 大促活动</t>
  </si>
  <si>
    <t>原价: 999 活动价: 698</t>
  </si>
  <si>
    <t>云米AI燃气热水器智控恒温防冻节能安全水质净化精准控温13L强排</t>
  </si>
  <si>
    <t>原价: 999 活动价: 699</t>
  </si>
  <si>
    <t>云米掌静脉门锁人脸指纹密码蓝牙全自动安全可视化大屏带门铃防盗</t>
  </si>
  <si>
    <t>大促活动, 品牌好价</t>
  </si>
  <si>
    <t>原价: 1499 活动价: 1104</t>
  </si>
  <si>
    <t>云米智能AI门锁3D指纹密码蓝牙可连大容量续航家用公寓全自动安全</t>
  </si>
  <si>
    <t>品牌好价</t>
  </si>
  <si>
    <t>原价: 899 活动价: 809.1</t>
  </si>
  <si>
    <t>原价: 1199 活动价: 889</t>
  </si>
  <si>
    <t>云米56L蒸烤一体机嵌入式家用厨房多功能电蒸箱烤箱二合一大容量</t>
  </si>
  <si>
    <t>原价: 3699 活动价: 2999</t>
  </si>
  <si>
    <t>云米新品鲲鹏PRO油烟机28m³大吸力易清洁挥手智控烟灶联动小噪音</t>
  </si>
  <si>
    <t>原价: 2799 活动价: 2239</t>
  </si>
  <si>
    <t>云米AI顶侧双吸智目吸25m³大吸力350mm薄机身变频强压一级油烟机</t>
  </si>
  <si>
    <t>原价: 2899 活动价: 2298</t>
  </si>
  <si>
    <t>云米全自动智能马桶一体式脚踢感应翻盖抗菌座圈带水箱泡沫盾家用</t>
  </si>
  <si>
    <t>原价: 3299 活动价: 2899</t>
  </si>
  <si>
    <t>【劲猛火力】云米家用燃气灶液化气天然气5.0KW猛火灶大火力厨房</t>
  </si>
  <si>
    <t>云米全自动智能小鲸鱼2马桶恒温抗菌座圈虹吸离座冲水泡沫盾一级</t>
  </si>
  <si>
    <t>【大屏猫眼】云米家用门锁全自动推拉式锁密码防盗智能指纹门锁2V</t>
  </si>
  <si>
    <t>原价: 1499 活动价: 968</t>
  </si>
  <si>
    <t>云米全自动轻智能马桶恒温即热抗菌座圈虹吸离座冲水泡沫盾增压泵</t>
  </si>
  <si>
    <t>云米AI冰箱十字四门502L双系统循环超薄平嵌美妆舱抗菌风冷无霜</t>
  </si>
  <si>
    <t>云米法式双系统双循环超薄零嵌冰箱双变频一级能效美妆舱大容量</t>
  </si>
  <si>
    <t>云米AI油烟机双腔大吸力Smart双腔一级能效23m³大风压智清洁节能</t>
  </si>
  <si>
    <t>同价上首页, 百亿补贴, 大促活动, 即将上榜</t>
  </si>
  <si>
    <t>原价: 1399 活动价: 832</t>
  </si>
  <si>
    <t>云米智能AI门锁3D指纹密码蓝牙可连大容量续航家用公寓自动安全</t>
  </si>
  <si>
    <t>原价: 729 活动价: 662</t>
  </si>
  <si>
    <t>云米鲲鹏抽油烟机家用顶侧双吸26大吸力变频油烟机一级能效玻璃</t>
  </si>
  <si>
    <t>原价: 2299 活动价: 1499</t>
  </si>
  <si>
    <t>云米5.2KW智能燃气灶大火力爆炒灶具一级节能家用厨房双灶头台嵌</t>
  </si>
  <si>
    <t>百亿补贴</t>
  </si>
  <si>
    <t>原价: 879 活动价: 699</t>
  </si>
  <si>
    <t>云米大黑翼油烟机 大吸力24风量超薄平嵌顶侧三吸高温自清洁智控</t>
  </si>
  <si>
    <t>原价: 1199 活动价: 998</t>
  </si>
  <si>
    <t>云米24m³大吸力顶侧3吸抽油烟机家用厨房大风量智能操控一级能效</t>
  </si>
  <si>
    <t>原价: 1599 活动价: 1299</t>
  </si>
  <si>
    <t>云米智能门锁锂电池5000mAh-AMS21D</t>
  </si>
  <si>
    <t>云米26m³大吸力超薄鲲鹏抽油烟机聚能猛火灶智能家用厨房烟灶套装</t>
  </si>
  <si>
    <t>原价: 1999 活动价: 1499</t>
  </si>
  <si>
    <t>云米全自动智能3D人脸识别门锁家用电池套装防盗指纹密码安全刷脸</t>
  </si>
  <si>
    <t>【新品】云米120°超广角猫眼全自动智能门锁家用客厅室内高清大屏</t>
  </si>
  <si>
    <t>原价: 999 活动价: 799</t>
  </si>
  <si>
    <t>云米电热水器50/60升洗澡家用浴室速热大容量省电防漏电警示X1</t>
  </si>
  <si>
    <t>云米顶侧双吸大吸力低噪油烟机猛火液化气聚能灶智能套装家用厨房</t>
  </si>
  <si>
    <t>S2501061036001</t>
  </si>
  <si>
    <t>原价: 1799 活动价: 1187</t>
  </si>
  <si>
    <t>云米23立方大吸力烟灶套装顶吸油烟机家用厨房5.0KW液化气灶flash</t>
  </si>
  <si>
    <t>S2411211431001</t>
  </si>
  <si>
    <t>1299～2099</t>
  </si>
  <si>
    <t>云米净水器EROX矿物质净水器厨下净水1200G</t>
  </si>
  <si>
    <t>云米电热水器40升60升洗澡家用租房储水式速热抑菌节能省电卫生间</t>
  </si>
  <si>
    <t>499～599</t>
  </si>
  <si>
    <t>云米顶侧大吸力蓝调油烟机家用厨房节能自清洁一级能效可挥手智控</t>
  </si>
  <si>
    <t>原价: 1199 活动价: 867</t>
  </si>
  <si>
    <t>云米水槽下水器垃圾处理器粉碎机下水道厨余搅碎机抑菌厨房家用</t>
  </si>
  <si>
    <t>原价: 1099 活动价: 967</t>
  </si>
  <si>
    <t>云米电热水器SmartE抑菌美肤洗3300W安全速热洗澡增容8倍大水量</t>
  </si>
  <si>
    <t>云米5.0KW智能燃气灶大火力爆炒灶具一级节能家用厨房双灶头台嵌</t>
  </si>
  <si>
    <t>【套装】云米净水器厨下式RO反渗透净水机直饮家用前置冷热管线机</t>
  </si>
  <si>
    <t>原价: 4399 活动价: 3103</t>
  </si>
  <si>
    <t>云米超薄烟灶热套装飓风吸力抽油烟机5.2KW聚能灶超薄双胆热水器</t>
  </si>
  <si>
    <t>super3套装</t>
  </si>
  <si>
    <t>原价: 5999 活动价: 4999</t>
  </si>
  <si>
    <t>云米智能烟灶热套装大吸力抽油烟机5.0KW燃气灶双胆速热电热水器</t>
  </si>
  <si>
    <t>super2套装</t>
  </si>
  <si>
    <t>同价上首页, 大促活动</t>
  </si>
  <si>
    <t>原价: 5199 活动价: 2908</t>
  </si>
  <si>
    <t>云米嵌入式冰洗套装510升一级超薄风冷冰箱&amp;10KG超薄滚筒洗烘一体</t>
  </si>
  <si>
    <t>云米大容量冰洗套装603升独立制冰冰箱&amp;10KG全自动洗烘一体洗衣机</t>
  </si>
  <si>
    <t>原价: 5499 活动价: 4468</t>
  </si>
  <si>
    <t>云米超薄嵌入式冰洗套餐500升风冷无霜冰箱&amp;10公斤洗烘一体洗衣机</t>
  </si>
  <si>
    <t>500+M1</t>
  </si>
  <si>
    <t>原价: 6499 活动价: 5566</t>
  </si>
  <si>
    <t>云米蓝调烟灶热套装顶侧大吸力抽油烟机聚能燃气灶速热电热水器</t>
  </si>
  <si>
    <t>蓝调烟灶热</t>
  </si>
  <si>
    <t>原价: 2999 活动价: 2998</t>
  </si>
  <si>
    <t>1499～2499</t>
  </si>
  <si>
    <t>【美妆超薄零嵌】云米510升嵌入式双开门一级风冷无霜银离子冰箱</t>
  </si>
  <si>
    <t>原价: 3599 活动价: 2798</t>
  </si>
  <si>
    <t>云米电热水器抑菌美肤洗3300W安全速热大水量60L【已接入米家APP</t>
  </si>
  <si>
    <t>云米前置过滤器Super智能自动冲洗全屋前置净水器家用自来水冲洗</t>
  </si>
  <si>
    <t>云米智能大吸力抽油烟机猛火燃气灶增容速热电热水器烟灶热三件套</t>
  </si>
  <si>
    <t>原价: 2299 活动价: 1699</t>
  </si>
  <si>
    <t>云米12KG滚筒洗衣机家用全自动大容量洗烘一体机防抖动超薄全嵌</t>
  </si>
  <si>
    <t>【冰洗套装】云米603升独立制冰冰箱&amp;10KG超薄洁净除菌除螨洗衣机</t>
  </si>
  <si>
    <t>原价: 5299 活动价: 4197</t>
  </si>
  <si>
    <t>【2000G超大通量】云米净水器Space2000G厨下家用净水机RO反渗透</t>
  </si>
  <si>
    <t>原价: 8999 活动价: 8984</t>
  </si>
  <si>
    <t>云米智能门锁全自动家用指纹密码锁可视猫眼人脸识别门锁Master3E</t>
  </si>
  <si>
    <t>云米电热水器AI美肤洗 780mm超薄 1级能效双胆三管速热 Super2Pro</t>
  </si>
  <si>
    <t>原价: 1899 活动价: 1358</t>
  </si>
  <si>
    <t>【超薄零平嵌】云米500升十字四门全域养鲜一级变频风冷无霜冰箱</t>
  </si>
  <si>
    <t>原价: 1099 活动价: 830</t>
  </si>
  <si>
    <t>【冷热直饮套装】云米净水器家用厨下管线机套装一键即热制冷直饮</t>
  </si>
  <si>
    <t>同价上首页, 百亿补贴, 畅销榜第14名</t>
  </si>
  <si>
    <t>原价: 2399 活动价: 1787</t>
  </si>
  <si>
    <t>云米烟灶套装顶侧双吸22m³烟机嵌入式5KW聚能猛火燃气灶一级能效</t>
  </si>
  <si>
    <t>烟灶套装5.0</t>
  </si>
  <si>
    <t>云米电热水器50/60升洗澡家用浴室速热大容量省电防漏电安全保温</t>
  </si>
  <si>
    <t>原价: 699 活动价: 489</t>
  </si>
  <si>
    <t>云米智能电热水器小蓝调节能变频速热家用浴室洗澡抑菌50L/60L</t>
  </si>
  <si>
    <t>原价: 799 活动价: 598.99</t>
  </si>
  <si>
    <t>云米智能猫眼人脸门锁密码锁3D人脸识别广角猫眼门锁家用安全指纹</t>
  </si>
  <si>
    <t>云米25m³顶侧爆吸大吸力智目吸烟机 5.2KW聚能猛火灶烟灶套装家用</t>
  </si>
  <si>
    <t>原价: 3099 活动价: 2248.99</t>
  </si>
  <si>
    <t>【升级小海豚】云米净水器800G通量&amp;竹炭滤芯厨下式RO反渗透家用</t>
  </si>
  <si>
    <t>云米蒸烤一体机厨房家用嵌入式蒸烤箱45L大蒸汽电烤箱VSO4501-B</t>
  </si>
  <si>
    <t>原价: 1999 活动价: 1771</t>
  </si>
  <si>
    <t>云米22m³顶侧大吸力蓝调低噪油烟机猛火天燃气灶智能套装家用厨房</t>
  </si>
  <si>
    <t>云米顶侧双吸烟灶套装22m³大吸力抽油烟机聚能猛火灶节能燃气家用</t>
  </si>
  <si>
    <t>蓝调套装</t>
  </si>
  <si>
    <t>原价: 1899 活动价: 1344</t>
  </si>
  <si>
    <t>云米管线机家用直饮机壁挂式UV杀菌加热一体机厨房加热饮水机MG2B</t>
  </si>
  <si>
    <t>原价: 899 活动价: 669</t>
  </si>
  <si>
    <t>云米3000W速热电热水器家用浴室免换镁棒一级能效抑菌内胆免清洗</t>
  </si>
  <si>
    <t>原价: 999 活动价: 709</t>
  </si>
  <si>
    <t>【母婴直饮】云米净水器RO反渗透厨下家用直饮机600G大通量</t>
  </si>
  <si>
    <t>云米即热净水器厨房家用直饮RO反渗透加热净饮一体机1000G</t>
  </si>
  <si>
    <t>同价上首页, 百亿补贴, 即将上榜</t>
  </si>
  <si>
    <t>原价: 2999 活动价: 1919</t>
  </si>
  <si>
    <t>【超薄全嵌】云米10公斤洗烘一体家用变频滚筒全自动洗衣机大容量</t>
  </si>
  <si>
    <t>原价: 2299 活动价: 1979</t>
  </si>
  <si>
    <t>【全屋净水三件套装】云米净水器管线机前置过滤器即热小海豚600G</t>
  </si>
  <si>
    <t>原价: 2599 活动价: 1999</t>
  </si>
  <si>
    <t>【独立制冰】云米603升冰箱变频一级风冷无霜双开对开门大容量</t>
  </si>
  <si>
    <t>原价: 2999 活动价: 2479</t>
  </si>
  <si>
    <t>云米净水器Super2Y1200G家用直饮厨下式RO反渗透鲜活泉无陈水</t>
  </si>
  <si>
    <t>原价: 2499 活动价: 1598.98</t>
  </si>
  <si>
    <t>【新鲜0陈水】云米净水器小海豚21000G厨下直饮小体积净水机RO机</t>
  </si>
  <si>
    <t>原价: 1799 活动价: 1050</t>
  </si>
  <si>
    <t>云米净水器滤芯小蓝调小海豚600G+专用复合滤芯RO反渗透滤芯过滤</t>
  </si>
  <si>
    <t>畅销榜第10名</t>
  </si>
  <si>
    <t>299～699</t>
  </si>
  <si>
    <t>云米净水器滤芯1234号滤芯厨上厨下通用RO反渗透家用400G/600G</t>
  </si>
  <si>
    <t>439～599</t>
  </si>
  <si>
    <t>云米顶侧双吸抽油烟机22m³智能挥手智控5.2KW聚能爆炒灶烟灶套装</t>
  </si>
  <si>
    <t>云米F3 1000G尼莫蓝/S2/Q5/X2系列净水器净饮机滤芯家用通用系列</t>
  </si>
  <si>
    <t>原价: 269 活动价: 156</t>
  </si>
  <si>
    <t>云米智能双胆电热水器扁桶家用速热储水式60L超薄抑菌节能大水量</t>
  </si>
  <si>
    <t>原价: 1099 活动价: 862</t>
  </si>
  <si>
    <t>云米鲲鹏AI智能燃电混动燃气热水器零冷水增压恒温洗澡小噪音节能</t>
  </si>
  <si>
    <t>原价: 3299 活动价: 1998.99</t>
  </si>
  <si>
    <t>云米22m³大吸力顶侧爆吸油烟机一级能效蓝调烟机挥手智控高温清洁</t>
  </si>
  <si>
    <t>原价: 1299 活动价: 899</t>
  </si>
  <si>
    <t>【除菌除螨】云米10公斤大容量滚筒洗衣机全自动家用节能大筒径</t>
  </si>
  <si>
    <t>原价: 2099 活动价: 1813</t>
  </si>
  <si>
    <t>【智能门锁】云米家用密码锁防盗指纹锁C级锁芯大容量长续航电池</t>
  </si>
  <si>
    <t>大促活动, 首页推荐专区</t>
  </si>
  <si>
    <t>原价: 999 活动价: 728</t>
  </si>
  <si>
    <t>【新品】云米全自动智能3D人脸识别门锁家用办公室防盗指纹密码锁</t>
  </si>
  <si>
    <t>原价: 1099 活动价: 898</t>
  </si>
  <si>
    <t>云米全自动智能马桶2Pro一体座圈加热妇洗泡沫盾抗菌可冲洗带水箱</t>
  </si>
  <si>
    <t>原价: 3299 活动价: 2564</t>
  </si>
  <si>
    <t>【小海豚1000G管线机套装】云米净水器家用厨下一键即热制冷直饮</t>
  </si>
  <si>
    <t>同价上首页, 百亿补贴, 畅销榜第20名</t>
  </si>
  <si>
    <t>原价: 2299 活动价: 2038</t>
  </si>
  <si>
    <t>云米大容量洗碗机10套家用嵌入式智目洗全自动热风烘干除菌消毒</t>
  </si>
  <si>
    <t>云米Super家用厨房顶侧3吸排抽油烟机猛火燃气灶热水器烟灶热套装</t>
  </si>
  <si>
    <t>super大套装</t>
  </si>
  <si>
    <t>原价: 3949 活动价: 2789</t>
  </si>
  <si>
    <t>【25年新品0陈水】云米净水器小海豚2 1000G家用直饮厨下RO反渗透</t>
  </si>
  <si>
    <t>原价: 1799 活动价: 1398</t>
  </si>
  <si>
    <t>云米净饮机X2系列滤芯X2mini mango复合滤芯5in1/6in1 RO反渗透</t>
  </si>
  <si>
    <t>147～319</t>
  </si>
  <si>
    <t>云米前置过滤器净水器家用全屋自来水过滤器厨房中央净水机过滤器</t>
  </si>
  <si>
    <t>原价: 499 活动价: 293.01</t>
  </si>
  <si>
    <t>云米全自动智能马桶水箱泡沫盾抗菌即热恒温座圈离座冲水小鲸鱼2</t>
  </si>
  <si>
    <t>小鲸鱼</t>
  </si>
  <si>
    <t>原价: 1999 活动价: 1498</t>
  </si>
  <si>
    <t>云米净水器滤芯家用小海豚小蓝调小白龙系列专用RO反渗透</t>
  </si>
  <si>
    <t>149～549</t>
  </si>
  <si>
    <t>云米智能电器多功能电烤箱家用烘焙小型蛋糕烤鸡翅披萨全自动16L</t>
  </si>
  <si>
    <t>原价: 199 活动价: 174</t>
  </si>
  <si>
    <t>云米16L零冷水燃气热水器家用智能变频即热水气双调恒温安全防冻</t>
  </si>
  <si>
    <t>16L零冷水热水器</t>
  </si>
  <si>
    <t>云米电热水器家用洗澡租房储水式速热抑菌节能省电卫生间40/60升</t>
  </si>
  <si>
    <t>原价: 699 活动价: 420</t>
  </si>
  <si>
    <t>【昆仑矿泉1000G】云米净水器Super2E厨下式饮水机天然低钠净水机</t>
  </si>
  <si>
    <t>云米60升AI速热高温抑菌电热水器3000W一级节能变频增容家用租房</t>
  </si>
  <si>
    <t>原价: 899 活动价: 675</t>
  </si>
  <si>
    <t>【重磅新品】云米净水器600G小海豚升级版厨下式RO反渗透直饮家用</t>
  </si>
  <si>
    <t>云米净水器滤芯S2、Fast厨下1A400G600G 1号复合滤芯RO反渗透滤芯</t>
  </si>
  <si>
    <t>原价: 199 活动价: 156</t>
  </si>
  <si>
    <t>云米互联网洗碗机全自动家用8套热风烘干消毒嵌入式Iron X1</t>
  </si>
  <si>
    <t>云米智能洗碗机10套热风烘干消毒嵌入式洗烘存一体家用IronA1</t>
  </si>
  <si>
    <t>原价: 2299 活动价: 1684</t>
  </si>
  <si>
    <t>云米100L消毒柜家用超薄嵌入式大容量厨房独立消毒烘干ZTD100A-1</t>
  </si>
  <si>
    <t>同价上首页, 百亿补贴, 大促活动, 畅销榜第8名</t>
  </si>
  <si>
    <t>原价: 1299 活动价: 896</t>
  </si>
  <si>
    <t>云米23m³顶侧大吸力超薄智能油烟机厨房app挥手智控易清洁一级</t>
  </si>
  <si>
    <t>原价: 1399 活动价: 959</t>
  </si>
  <si>
    <t>云米真空保温杯轻便携不锈钢大学生自习室茶杯300ml</t>
  </si>
  <si>
    <t>云米16即热零冷水燃气热水器智能低水压双调恒温防冻安全保护速热</t>
  </si>
  <si>
    <t>原价: 1499 活动价: 924</t>
  </si>
  <si>
    <t>云米电热水器免换镁棒1级能效钛芯防护抑菌内胆免清洗3000W速热</t>
  </si>
  <si>
    <t>镁棒50/60L</t>
  </si>
  <si>
    <t>原价: 1099 活动价: 700</t>
  </si>
  <si>
    <t>云米23立方油烟机燃气灶套装家用厨房顶侧大吸力油烟机5.0KW灶具</t>
  </si>
  <si>
    <t>原价: 2099 活动价: 1399</t>
  </si>
  <si>
    <t>【声控晾衣架】云米智能电动晾衣架无线遥控大容量自动升降控制</t>
  </si>
  <si>
    <t>云米120°超广角猫眼全自动智能门锁电池套装家用客厅室内高清大屏</t>
  </si>
  <si>
    <t>云米小厨宝6L电热水器厨房卫生间出水恒温储水式小型速热神器加热</t>
  </si>
  <si>
    <t>原价: 399 活动价: 291</t>
  </si>
  <si>
    <t>云米60L速热电热水器3000W一级节能变频增容租房安全已接入米家AP</t>
  </si>
  <si>
    <t>云米冰箱508升平嵌四开门十字对开门冰箱双循环变频一级节能家用</t>
  </si>
  <si>
    <t>1498～1999</t>
  </si>
  <si>
    <t>云米10公斤超薄滚筒洗衣机除菌家用全自动洗烘干一体机Super2S</t>
  </si>
  <si>
    <t>云米净水器滤芯PP棉前置后置RO反渗透1号2号3号4号通用装C/V系列</t>
  </si>
  <si>
    <t>原价: 59 活动价: 39</t>
  </si>
  <si>
    <t>【母婴直饮】云米净水器600G厨下式RO反渗透直饮过滤器净饮小海豚</t>
  </si>
  <si>
    <t>云米小厨宝6L即热式厨房台下洗碗热水宝上出水储水式小型电热水器</t>
  </si>
  <si>
    <t>原价: 399 活动价: 283.99</t>
  </si>
  <si>
    <t>823432069145</t>
  </si>
  <si>
    <t>820799210391</t>
  </si>
  <si>
    <t>818698470695</t>
  </si>
  <si>
    <t>818688568550</t>
  </si>
  <si>
    <t>813216297630</t>
  </si>
  <si>
    <t>806062288852</t>
  </si>
  <si>
    <t>806019508014</t>
  </si>
  <si>
    <t>804409121514</t>
  </si>
  <si>
    <t>795732084979</t>
  </si>
  <si>
    <t>794596267313</t>
  </si>
  <si>
    <t>791982350266</t>
  </si>
  <si>
    <t>791968310970</t>
  </si>
  <si>
    <t>791519887797</t>
  </si>
  <si>
    <t>784230725200</t>
  </si>
  <si>
    <t>783328258611</t>
  </si>
  <si>
    <t>783305466570</t>
  </si>
  <si>
    <t>779577924008</t>
  </si>
  <si>
    <t>774960777953</t>
  </si>
  <si>
    <t>773161065181</t>
  </si>
  <si>
    <t>767193647325</t>
  </si>
  <si>
    <t>766621333932</t>
  </si>
  <si>
    <t>765112154467</t>
  </si>
  <si>
    <t>764094861934</t>
  </si>
  <si>
    <t>763759392708</t>
  </si>
  <si>
    <t>763624104518</t>
  </si>
  <si>
    <t>761822913595</t>
  </si>
  <si>
    <t>761222085912</t>
  </si>
  <si>
    <t>760594778145</t>
  </si>
  <si>
    <t>760135073480</t>
  </si>
  <si>
    <t>756449819265</t>
  </si>
  <si>
    <t>754311312713</t>
  </si>
  <si>
    <t>754061934557</t>
  </si>
  <si>
    <t>750412983827</t>
  </si>
  <si>
    <t>743885774552</t>
  </si>
  <si>
    <t>739863611562</t>
  </si>
  <si>
    <t>738372436858</t>
  </si>
  <si>
    <t>734411703003</t>
  </si>
  <si>
    <t>710063036890</t>
  </si>
  <si>
    <t>705715580268</t>
  </si>
  <si>
    <t>702770659797</t>
  </si>
  <si>
    <t>697437448085</t>
  </si>
  <si>
    <t>697436012016</t>
  </si>
  <si>
    <t>691819698413</t>
  </si>
  <si>
    <t>674950510509</t>
  </si>
  <si>
    <t>674947704528</t>
  </si>
  <si>
    <t>664727165369</t>
  </si>
  <si>
    <t>661859626284</t>
  </si>
  <si>
    <t>657344402006</t>
  </si>
  <si>
    <t>657332839161</t>
  </si>
  <si>
    <t>657331898051</t>
  </si>
  <si>
    <t>623266189560</t>
  </si>
  <si>
    <t>618393449055</t>
  </si>
  <si>
    <t>618360171773</t>
  </si>
  <si>
    <t>618356912731</t>
  </si>
  <si>
    <t>618207377423</t>
  </si>
  <si>
    <t>614821960857</t>
  </si>
  <si>
    <t>614813745328</t>
  </si>
  <si>
    <t>614127428326</t>
  </si>
  <si>
    <t>604410073495</t>
  </si>
  <si>
    <t>600131174099</t>
  </si>
  <si>
    <t>593188495144</t>
  </si>
  <si>
    <t>573873753845</t>
  </si>
  <si>
    <t>543710440401</t>
  </si>
  <si>
    <t>539854309519</t>
  </si>
  <si>
    <t>531356217960</t>
  </si>
  <si>
    <t>530510161441</t>
  </si>
  <si>
    <t>518275626594</t>
  </si>
  <si>
    <t>515237643272</t>
  </si>
  <si>
    <t>490426355421</t>
  </si>
  <si>
    <t>484037745334</t>
  </si>
  <si>
    <t>438643758639</t>
  </si>
  <si>
    <t>436320010098</t>
  </si>
  <si>
    <t>434684719975</t>
  </si>
  <si>
    <t>413986425773</t>
  </si>
  <si>
    <t>407741710364</t>
  </si>
  <si>
    <t>405069782417</t>
  </si>
  <si>
    <t>403868159413</t>
  </si>
  <si>
    <t>388827922980</t>
  </si>
  <si>
    <t>382839923175</t>
  </si>
  <si>
    <t>375507459489</t>
  </si>
  <si>
    <t>369876178838</t>
  </si>
  <si>
    <t>368266541253</t>
  </si>
  <si>
    <t>359683557190</t>
  </si>
  <si>
    <t>356164755389</t>
  </si>
  <si>
    <t>325232192898</t>
  </si>
  <si>
    <t>309984364103</t>
  </si>
  <si>
    <t>309520593154</t>
  </si>
  <si>
    <t>305399102850</t>
  </si>
  <si>
    <t>296967601341</t>
  </si>
  <si>
    <t>296957182528</t>
  </si>
  <si>
    <t>293176200985</t>
  </si>
  <si>
    <t>291141614396</t>
  </si>
  <si>
    <t>290130975552</t>
  </si>
  <si>
    <t>290124810509</t>
  </si>
  <si>
    <t>283026078701</t>
  </si>
  <si>
    <t>277533575039</t>
  </si>
  <si>
    <t>273348857003</t>
  </si>
  <si>
    <t>259115850200</t>
  </si>
  <si>
    <t>248791771968</t>
  </si>
  <si>
    <t>246986456918</t>
  </si>
  <si>
    <t>245008294548</t>
  </si>
  <si>
    <t>244098896198</t>
  </si>
  <si>
    <t>243153009643</t>
  </si>
  <si>
    <t>242922206713</t>
  </si>
  <si>
    <t>237591380789</t>
  </si>
  <si>
    <t>232467205433</t>
  </si>
  <si>
    <t>231833573024</t>
  </si>
  <si>
    <t>228907185185</t>
  </si>
  <si>
    <t>227645754240</t>
  </si>
  <si>
    <t>227636399053</t>
  </si>
  <si>
    <t>226368376224</t>
  </si>
  <si>
    <t>224216987554</t>
  </si>
  <si>
    <t>223486025603</t>
  </si>
  <si>
    <t>223485946991</t>
  </si>
  <si>
    <t>220820325711</t>
  </si>
  <si>
    <t>219486126363</t>
  </si>
  <si>
    <t>217541928957</t>
  </si>
  <si>
    <t>216845252864</t>
  </si>
  <si>
    <t>215513269171</t>
  </si>
  <si>
    <t>213946234221</t>
  </si>
  <si>
    <t>209837375742</t>
  </si>
  <si>
    <t>209415771537</t>
  </si>
  <si>
    <t>209406625494</t>
  </si>
  <si>
    <t>208073193570</t>
  </si>
  <si>
    <t>208071231700</t>
  </si>
  <si>
    <t>207787541898</t>
  </si>
  <si>
    <t>205936193873</t>
  </si>
  <si>
    <t>205633837378</t>
  </si>
  <si>
    <t>205467667434</t>
  </si>
  <si>
    <t>205458105137</t>
  </si>
  <si>
    <t>205451808289</t>
  </si>
  <si>
    <t>6923185654872</t>
  </si>
  <si>
    <t>6923185653479</t>
  </si>
  <si>
    <t>6923185653486</t>
  </si>
  <si>
    <t>6923185653455</t>
  </si>
  <si>
    <t>品类</t>
    <phoneticPr fontId="3" type="noConversion"/>
  </si>
  <si>
    <t>链接</t>
    <phoneticPr fontId="3" type="noConversion"/>
  </si>
  <si>
    <t>https://mobile.yangkeduo.com/goods.html?goods_id=225501370546</t>
  </si>
  <si>
    <t>https://mobile.yangkeduo.com/goods.html?goods_id=232467205433</t>
  </si>
  <si>
    <t>https://mobile.yangkeduo.com/goods.html?goods_id=296967601341</t>
  </si>
  <si>
    <t>https://mobile.yangkeduo.com/goods.html?goods_id=818698470695</t>
  </si>
  <si>
    <t>https://mobile.yangkeduo.com/goods.html?goods_id=818688568550</t>
  </si>
  <si>
    <t>https://mobile.yangkeduo.com/goods.html?goods_id=244055989700</t>
  </si>
  <si>
    <t>https://mobile.yangkeduo.com/goods.html?goods_id=806062288852</t>
  </si>
  <si>
    <t>https://mobile.yangkeduo.com/goods.html?goods_id=806019508014</t>
  </si>
  <si>
    <t>https://mobile.yangkeduo.com/goods.html?goods_id=804409121514</t>
  </si>
  <si>
    <t>https://mobile.yangkeduo.com/goods.html?goods_id=795732084979</t>
  </si>
  <si>
    <t>https://mobile.yangkeduo.com/goods.html?goods_id=794596267313</t>
  </si>
  <si>
    <t>https://mobile.yangkeduo.com/goods.html?goods_id=791982350266</t>
  </si>
  <si>
    <t>https://mobile.yangkeduo.com/goods.html?goods_id=791968310970</t>
  </si>
  <si>
    <t>https://mobile.yangkeduo.com/goods.html?goods_id=791519887797</t>
  </si>
  <si>
    <t>https://mobile.yangkeduo.com/goods.html?goods_id=784230725200</t>
  </si>
  <si>
    <t>https://mobile.yangkeduo.com/goods.html?goods_id=783305466570</t>
  </si>
  <si>
    <t>https://mobile.yangkeduo.com/goods.html?goods_id=779577924008</t>
  </si>
  <si>
    <t>https://mobile.yangkeduo.com/goods.html?goods_id=774960777953</t>
  </si>
  <si>
    <t>https://mobile.yangkeduo.com/goods.html?goods_id=767193647325</t>
  </si>
  <si>
    <t>https://mobile.yangkeduo.com/goods.html?goods_id=766621333932</t>
  </si>
  <si>
    <t>https://mobile.yangkeduo.com/goods.html?goods_id=765112154467</t>
  </si>
  <si>
    <t>https://mobile.yangkeduo.com/goods.html?goods_id=764094861934</t>
  </si>
  <si>
    <t>https://mobile.yangkeduo.com/goods.html?goods_id=763624104518</t>
  </si>
  <si>
    <t>https://mobile.yangkeduo.com/goods.html?goods_id=761822913595</t>
  </si>
  <si>
    <t>https://mobile.yangkeduo.com/goods.html?goods_id=761222085912</t>
  </si>
  <si>
    <t>https://mobile.yangkeduo.com/goods.html?goods_id=760594778145</t>
  </si>
  <si>
    <t>https://mobile.yangkeduo.com/goods.html?goods_id=760135073480</t>
  </si>
  <si>
    <t>https://mobile.yangkeduo.com/goods.html?goods_id=754311312713</t>
  </si>
  <si>
    <t>https://mobile.yangkeduo.com/goods.html?goods_id=754061934557</t>
  </si>
  <si>
    <t>https://mobile.yangkeduo.com/goods.html?goods_id=743885774552</t>
  </si>
  <si>
    <t>https://mobile.yangkeduo.com/goods.html?goods_id=739863611562</t>
  </si>
  <si>
    <t>https://mobile.yangkeduo.com/goods.html?goods_id=734411703003</t>
  </si>
  <si>
    <t>https://mobile.yangkeduo.com/goods.html?goods_id=705715580268</t>
  </si>
  <si>
    <t>https://mobile.yangkeduo.com/goods.html?goods_id=702770659797</t>
  </si>
  <si>
    <t>https://mobile.yangkeduo.com/goods.html?goods_id=697437448085</t>
  </si>
  <si>
    <t>https://mobile.yangkeduo.com/goods.html?goods_id=697436012016</t>
  </si>
  <si>
    <t>https://mobile.yangkeduo.com/goods.html?goods_id=691819698413</t>
  </si>
  <si>
    <t>https://mobile.yangkeduo.com/goods.html?goods_id=674950510509</t>
  </si>
  <si>
    <t>https://mobile.yangkeduo.com/goods.html?goods_id=674947704528</t>
  </si>
  <si>
    <t>https://mobile.yangkeduo.com/goods.html?goods_id=819506595979</t>
  </si>
  <si>
    <t>https://mobile.yangkeduo.com/goods.html?goods_id=661859626284</t>
  </si>
  <si>
    <t>https://mobile.yangkeduo.com/goods.html?goods_id=657331898051</t>
  </si>
  <si>
    <t>https://mobile.yangkeduo.com/goods.html?goods_id=623266189560</t>
  </si>
  <si>
    <t>https://mobile.yangkeduo.com/goods.html?goods_id=618360171773</t>
  </si>
  <si>
    <t>https://mobile.yangkeduo.com/goods.html?goods_id=618356912731</t>
  </si>
  <si>
    <t>https://mobile.yangkeduo.com/goods.html?goods_id=618207377423</t>
  </si>
  <si>
    <t>https://mobile.yangkeduo.com/goods.html?goods_id=480070620581</t>
  </si>
  <si>
    <t>https://mobile.yangkeduo.com/goods.html?goods_id=614821960857</t>
  </si>
  <si>
    <t>https://mobile.yangkeduo.com/goods.html?goods_id=614813745328</t>
  </si>
  <si>
    <t>https://mobile.yangkeduo.com/goods.html?goods_id=614127428326</t>
  </si>
  <si>
    <t>https://mobile.yangkeduo.com/goods.html?goods_id=205467667434</t>
  </si>
  <si>
    <t>https://mobile.yangkeduo.com/goods.html?goods_id=600131174099</t>
  </si>
  <si>
    <t>https://mobile.yangkeduo.com/goods.html?goods_id=593188495144</t>
  </si>
  <si>
    <t>https://mobile.yangkeduo.com/goods.html?goods_id=243153009643</t>
  </si>
  <si>
    <t>https://mobile.yangkeduo.com/goods.html?goods_id=543710440401</t>
  </si>
  <si>
    <t>https://mobile.yangkeduo.com/goods.html?goods_id=539854309519</t>
  </si>
  <si>
    <t>https://mobile.yangkeduo.com/goods.html?goods_id=531356217960</t>
  </si>
  <si>
    <t>https://mobile.yangkeduo.com/goods.html?goods_id=364990106384</t>
  </si>
  <si>
    <t>https://mobile.yangkeduo.com/goods.html?goods_id=518275626594</t>
  </si>
  <si>
    <t>https://mobile.yangkeduo.com/goods.html?goods_id=515237643272</t>
  </si>
  <si>
    <t>https://mobile.yangkeduo.com/goods.html?goods_id=490426355421</t>
  </si>
  <si>
    <t>https://mobile.yangkeduo.com/goods.html?goods_id=224216987554</t>
  </si>
  <si>
    <t>https://mobile.yangkeduo.com/goods.html?goods_id=438643758639</t>
  </si>
  <si>
    <t>https://mobile.yangkeduo.com/goods.html?goods_id=434684719975</t>
  </si>
  <si>
    <t>https://mobile.yangkeduo.com/goods.html?goods_id=413986425773</t>
  </si>
  <si>
    <t>https://mobile.yangkeduo.com/goods.html?goods_id=407741710364</t>
  </si>
  <si>
    <t>https://mobile.yangkeduo.com/goods.html?goods_id=375507459489</t>
  </si>
  <si>
    <t>https://mobile.yangkeduo.com/goods.html?goods_id=403868159413</t>
  </si>
  <si>
    <t>https://mobile.yangkeduo.com/goods.html?goods_id=388827922980</t>
  </si>
  <si>
    <t>https://mobile.yangkeduo.com/goods.html?goods_id=382839923175</t>
  </si>
  <si>
    <t>https://mobile.yangkeduo.com/goods.html?goods_id=291141614396</t>
  </si>
  <si>
    <t>https://mobile.yangkeduo.com/goods.html?goods_id=369876178838</t>
  </si>
  <si>
    <t>https://mobile.yangkeduo.com/goods.html?goods_id=309517106373</t>
  </si>
  <si>
    <t>https://mobile.yangkeduo.com/goods.html?goods_id=246986456918</t>
  </si>
  <si>
    <t>https://mobile.yangkeduo.com/goods.html?goods_id=359683557190</t>
  </si>
  <si>
    <t>https://mobile.yangkeduo.com/goods.html?goods_id=820799210391</t>
  </si>
  <si>
    <t>https://mobile.yangkeduo.com/goods.html?goods_id=325232192898</t>
  </si>
  <si>
    <t>https://mobile.yangkeduo.com/goods.html?goods_id=309984364103</t>
  </si>
  <si>
    <t>https://mobile.yangkeduo.com/goods.html?goods_id=296957182528</t>
  </si>
  <si>
    <t>https://mobile.yangkeduo.com/goods.html?goods_id=813216297630</t>
  </si>
  <si>
    <t>https://mobile.yangkeduo.com/goods.html?goods_id=305399102850</t>
  </si>
  <si>
    <t>https://mobile.yangkeduo.com/goods.html?goods_id=604410073495</t>
  </si>
  <si>
    <t>https://mobile.yangkeduo.com/goods.html?goods_id=242922206713</t>
  </si>
  <si>
    <t>https://mobile.yangkeduo.com/goods.html?goods_id=293176200985</t>
  </si>
  <si>
    <t>https://mobile.yangkeduo.com/goods.html?goods_id=227636399053</t>
  </si>
  <si>
    <t>https://mobile.yangkeduo.com/goods.html?goods_id=290130975552</t>
  </si>
  <si>
    <t>https://mobile.yangkeduo.com/goods.html?goods_id=290124810509</t>
  </si>
  <si>
    <t>https://mobile.yangkeduo.com/goods.html?goods_id=283026078701</t>
  </si>
  <si>
    <t>https://mobile.yangkeduo.com/goods.html?goods_id=277533575039</t>
  </si>
  <si>
    <t>https://mobile.yangkeduo.com/goods.html?goods_id=273348857003</t>
  </si>
  <si>
    <t>https://mobile.yangkeduo.com/goods.html?goods_id=259115850200</t>
  </si>
  <si>
    <t>https://mobile.yangkeduo.com/goods.html?goods_id=248791771968</t>
  </si>
  <si>
    <t>https://mobile.yangkeduo.com/goods.html?goods_id=205458105137</t>
  </si>
  <si>
    <t>https://mobile.yangkeduo.com/goods.html?goods_id=245008294548</t>
  </si>
  <si>
    <t>https://mobile.yangkeduo.com/goods.html?goods_id=244098896198</t>
  </si>
  <si>
    <t>https://mobile.yangkeduo.com/goods.html?goods_id=823432069145</t>
  </si>
  <si>
    <t>https://mobile.yangkeduo.com/goods.html?goods_id=664727165369</t>
  </si>
  <si>
    <t>https://mobile.yangkeduo.com/goods.html?goods_id=618393449055</t>
  </si>
  <si>
    <t>https://mobile.yangkeduo.com/goods.html?goods_id=237591380789</t>
  </si>
  <si>
    <t>https://mobile.yangkeduo.com/goods.html?goods_id=573873753845</t>
  </si>
  <si>
    <t>https://mobile.yangkeduo.com/goods.html?goods_id=231833573024</t>
  </si>
  <si>
    <t>https://mobile.yangkeduo.com/goods.html?goods_id=228907185185</t>
  </si>
  <si>
    <t>https://mobile.yangkeduo.com/goods.html?goods_id=227645754240</t>
  </si>
  <si>
    <t>https://mobile.yangkeduo.com/goods.html?goods_id=530510161441</t>
  </si>
  <si>
    <t>https://mobile.yangkeduo.com/goods.html?goods_id=226368376224</t>
  </si>
  <si>
    <t>https://mobile.yangkeduo.com/goods.html?goods_id=223485946991</t>
  </si>
  <si>
    <t>https://mobile.yangkeduo.com/goods.html?goods_id=405069782417</t>
  </si>
  <si>
    <t>https://mobile.yangkeduo.com/goods.html?goods_id=368266541253</t>
  </si>
  <si>
    <t>https://mobile.yangkeduo.com/goods.html?goods_id=223486025603</t>
  </si>
  <si>
    <t>https://mobile.yangkeduo.com/goods.html?goods_id=219486126363</t>
  </si>
  <si>
    <t>https://mobile.yangkeduo.com/goods.html?goods_id=217541928957</t>
  </si>
  <si>
    <t>https://mobile.yangkeduo.com/goods.html?goods_id=215513269171</t>
  </si>
  <si>
    <t>https://mobile.yangkeduo.com/goods.html?goods_id=213946234221</t>
  </si>
  <si>
    <t>https://mobile.yangkeduo.com/goods.html?goods_id=209837375742</t>
  </si>
  <si>
    <t>https://mobile.yangkeduo.com/goods.html?goods_id=209415771537</t>
  </si>
  <si>
    <t>https://mobile.yangkeduo.com/goods.html?goods_id=209406625494</t>
  </si>
  <si>
    <t>https://mobile.yangkeduo.com/goods.html?goods_id=208073193570</t>
  </si>
  <si>
    <t>https://mobile.yangkeduo.com/goods.html?goods_id=208071231700</t>
  </si>
  <si>
    <t>https://mobile.yangkeduo.com/goods.html?goods_id=207787541898</t>
  </si>
  <si>
    <t>https://mobile.yangkeduo.com/goods.html?goods_id=205936193873</t>
  </si>
  <si>
    <t>https://mobile.yangkeduo.com/goods.html?goods_id=205633837378</t>
  </si>
  <si>
    <t>https://mobile.yangkeduo.com/goods.html?goods_id=356164755389</t>
  </si>
  <si>
    <t>https://mobile.yangkeduo.com/goods.html?goods_id=309520593154</t>
  </si>
  <si>
    <t>别名</t>
    <phoneticPr fontId="3" type="noConversion"/>
  </si>
  <si>
    <t>滤芯</t>
    <phoneticPr fontId="3" type="noConversion"/>
  </si>
  <si>
    <t>京东</t>
    <phoneticPr fontId="3" type="noConversion"/>
  </si>
  <si>
    <t>小海豚2 1000G</t>
  </si>
  <si>
    <t>https://item.jd.com/10176566189735.html</t>
  </si>
  <si>
    <t>https://item.jd.com/10183913655778.html</t>
  </si>
  <si>
    <t>https://item.jd.com/10176929301628.html</t>
  </si>
  <si>
    <t>https://item.jd.com/10183906956002.html</t>
  </si>
  <si>
    <t>https://item.jd.com/10175706195522.html</t>
  </si>
  <si>
    <t>https://item.jd.com/10160574648642.html</t>
  </si>
  <si>
    <t>https://item.jd.com/10154923901427.html</t>
  </si>
  <si>
    <t>https://item.jd.com/10176532354348.html</t>
    <phoneticPr fontId="3" type="noConversion"/>
  </si>
  <si>
    <t>净水</t>
  </si>
  <si>
    <t>云米AI净水器小海豚600G+</t>
  </si>
  <si>
    <t>即热1000G</t>
  </si>
  <si>
    <t>管线机</t>
  </si>
  <si>
    <t>云米·泉先AI管线机Master2S</t>
  </si>
  <si>
    <t>小白龙600G</t>
  </si>
  <si>
    <t>X2</t>
  </si>
  <si>
    <t>云米·泉先 AI冷热管线机 Super 2E</t>
  </si>
  <si>
    <t>前置过滤器</t>
  </si>
  <si>
    <t>https://item.jd.com/10167658224082.html</t>
    <phoneticPr fontId="3" type="noConversion"/>
  </si>
  <si>
    <t>https://item.jd.com/10176559768031.html</t>
    <phoneticPr fontId="3" type="noConversion"/>
  </si>
  <si>
    <t>https://item.jd.com/10176532354349.html</t>
    <phoneticPr fontId="3" type="noConversion"/>
  </si>
  <si>
    <t>https://item.jd.com/10151813991756.html</t>
    <phoneticPr fontId="3" type="noConversion"/>
  </si>
  <si>
    <t>https://item.jd.com/10154924051316.html</t>
    <phoneticPr fontId="3" type="noConversion"/>
  </si>
  <si>
    <t>https://item.jd.com/10160957796277.html</t>
    <phoneticPr fontId="3" type="noConversion"/>
  </si>
  <si>
    <t>https://item.jd.com/10165919251111.html</t>
    <phoneticPr fontId="3" type="noConversion"/>
  </si>
  <si>
    <t>https://item.jd.com/10161973177131.html</t>
    <phoneticPr fontId="3" type="noConversion"/>
  </si>
  <si>
    <t>https://item.jd.com/10158868397265.html</t>
    <phoneticPr fontId="3" type="noConversion"/>
  </si>
  <si>
    <t>https://item.jd.com/10160574645837.html</t>
    <phoneticPr fontId="3" type="noConversion"/>
  </si>
  <si>
    <t>https://item.jd.com/10167896978716.html</t>
    <phoneticPr fontId="3" type="noConversion"/>
  </si>
  <si>
    <t>https://item.jd.com/10175125787008.html</t>
    <phoneticPr fontId="3" type="noConversion"/>
  </si>
  <si>
    <t>https://item.jd.com/10174391123368.html</t>
    <phoneticPr fontId="3" type="noConversion"/>
  </si>
  <si>
    <t>https://item.taobao.com/item.htm?id=900326079325</t>
  </si>
  <si>
    <t>https://detail.tmall.com/item.htm?id=899913391731</t>
  </si>
  <si>
    <t>https://detail.tmall.com/item.htm?id=969775508289</t>
  </si>
  <si>
    <t>https://detail.tmall.com/item.htm?id=966586883102</t>
  </si>
  <si>
    <t>https://detail.tmall.com/item.htm?id=903302245833</t>
  </si>
  <si>
    <t>https://item.taobao.com/item.htm?id=969161025713</t>
  </si>
  <si>
    <t>https://detail.tmall.com/item.htm?id=892586096033</t>
  </si>
  <si>
    <t>https://item.taobao.com/item.htm?id=968710295649</t>
  </si>
  <si>
    <t>https://item.taobao.com/item.htm?id=850605001397</t>
  </si>
  <si>
    <t>https://item.taobao.com/item.htm?id=968196115574</t>
  </si>
  <si>
    <t>https://item.taobao.com/item.htm?id=968165577450</t>
  </si>
  <si>
    <t>https://item.taobao.com/item.htm?id=968693814535</t>
  </si>
  <si>
    <t>https://item.taobao.com/item.htm?id=966962419360</t>
  </si>
  <si>
    <t>https://item.taobao.com/item.htm?id=968133433761</t>
  </si>
  <si>
    <t>淘系</t>
    <phoneticPr fontId="3" type="noConversion"/>
  </si>
  <si>
    <t>小海豚前置</t>
  </si>
  <si>
    <t>白色管线机</t>
  </si>
  <si>
    <t>小竹泉1000G</t>
  </si>
  <si>
    <t>冷热管线机</t>
  </si>
  <si>
    <t>小竹泉1000G+冷热管线机套</t>
  </si>
  <si>
    <t>昆仑3即热1000G</t>
  </si>
  <si>
    <t>前置过滤器super</t>
  </si>
  <si>
    <t>Master3管线机</t>
  </si>
  <si>
    <t>弱碱1200+2S管线机</t>
  </si>
  <si>
    <t>蓝泽600G</t>
  </si>
  <si>
    <t>蓝泽800G</t>
  </si>
  <si>
    <t>蓝泽 1000G</t>
  </si>
  <si>
    <t>小白龙 600G</t>
  </si>
  <si>
    <t>小海豚前置过滤器</t>
  </si>
  <si>
    <t>鲜活泉2Y</t>
  </si>
  <si>
    <t>小昆仑 2E</t>
  </si>
  <si>
    <t>滤芯</t>
    <phoneticPr fontId="3" type="noConversion"/>
  </si>
  <si>
    <t>1秒即热壁挂饮水机 Speedy</t>
    <phoneticPr fontId="3" type="noConversion"/>
  </si>
  <si>
    <t>前置小海豚</t>
    <phoneticPr fontId="3" type="noConversion"/>
  </si>
  <si>
    <t>云米冷热管线机饮水机壁挂式双出水台式管线机UV杀菌Master3</t>
    <phoneticPr fontId="3" type="noConversion"/>
  </si>
  <si>
    <t>管线机Master3</t>
    <phoneticPr fontId="3" type="noConversion"/>
  </si>
  <si>
    <t>Super2E</t>
    <phoneticPr fontId="3" type="noConversion"/>
  </si>
  <si>
    <t>智能家电</t>
    <phoneticPr fontId="3" type="noConversion"/>
  </si>
  <si>
    <t>EROX 1200G</t>
    <phoneticPr fontId="3" type="noConversion"/>
  </si>
  <si>
    <t>前置spuer</t>
    <phoneticPr fontId="3" type="noConversion"/>
  </si>
  <si>
    <t>space2000</t>
    <phoneticPr fontId="3" type="noConversion"/>
  </si>
  <si>
    <t>小海豚升级 800G</t>
    <phoneticPr fontId="3" type="noConversion"/>
  </si>
  <si>
    <t>Super2Y 1200G</t>
    <phoneticPr fontId="3" type="noConversion"/>
  </si>
  <si>
    <t>小海豚600G+</t>
    <phoneticPr fontId="3" type="noConversion"/>
  </si>
  <si>
    <t>小海豚2 1000G</t>
    <phoneticPr fontId="3" type="noConversion"/>
  </si>
  <si>
    <t>同价上首页, 百亿补贴, 畅销榜第15名,国补</t>
    <phoneticPr fontId="3" type="noConversion"/>
  </si>
  <si>
    <t>秒杀,同价上首页, 百亿补贴, 好评榜第2名，千万爆款团</t>
    <phoneticPr fontId="3" type="noConversion"/>
  </si>
  <si>
    <t>小海豚600G+（老）</t>
    <phoneticPr fontId="3" type="noConversion"/>
  </si>
  <si>
    <t>小海豚600G+（新）</t>
    <phoneticPr fontId="3" type="noConversion"/>
  </si>
  <si>
    <t>智能家电</t>
  </si>
  <si>
    <t>https://mobile.yangkeduo.com/goods.html?goods_id=825622769619</t>
    <phoneticPr fontId="3" type="noConversion"/>
  </si>
  <si>
    <t>6923185654254</t>
  </si>
  <si>
    <t>6923185615415</t>
  </si>
  <si>
    <t>6923185653981</t>
  </si>
  <si>
    <t>6923185653684</t>
  </si>
  <si>
    <t>6923185626992</t>
  </si>
  <si>
    <t>6923185652526</t>
  </si>
  <si>
    <t>6923185620969</t>
  </si>
  <si>
    <t>6923185650966</t>
  </si>
  <si>
    <t>6923185621058</t>
  </si>
  <si>
    <t>6923185621782</t>
  </si>
  <si>
    <t>6923185600404</t>
  </si>
  <si>
    <t>6923185614203</t>
  </si>
  <si>
    <t>管线机台挂两用式家用 冷热饮水机 UV杀菌直饮机Master3</t>
  </si>
  <si>
    <t>管线机壁挂式 直饮机家用净水器伴侣速热制冷饮水机 UV杀菌加热</t>
  </si>
  <si>
    <t>825622769619</t>
    <phoneticPr fontId="3" type="noConversion"/>
  </si>
  <si>
    <t>原价: 1099，活动价: 814.9，</t>
    <phoneticPr fontId="3" type="noConversion"/>
  </si>
  <si>
    <t>309517106373</t>
    <phoneticPr fontId="3" type="noConversion"/>
  </si>
  <si>
    <t>225501370546</t>
    <phoneticPr fontId="3" type="noConversion"/>
  </si>
  <si>
    <t>819506595979</t>
    <phoneticPr fontId="3" type="noConversion"/>
  </si>
  <si>
    <t>480070620581</t>
    <phoneticPr fontId="3" type="noConversion"/>
  </si>
  <si>
    <t>京东</t>
    <phoneticPr fontId="3" type="noConversion"/>
  </si>
  <si>
    <t>https://item.taobao.com/item.htm?id=902116631708</t>
    <phoneticPr fontId="3" type="noConversion"/>
  </si>
  <si>
    <t>https://item.jd.com/100113886253.html</t>
    <phoneticPr fontId="3" type="noConversion"/>
  </si>
  <si>
    <t>AI净饮机Super2</t>
  </si>
  <si>
    <t>AI净水器Super2Y1200G</t>
  </si>
  <si>
    <t>https://item.taobao.com/item.htm?id=671890389960</t>
    <phoneticPr fontId="3" type="noConversion"/>
  </si>
  <si>
    <t>https://item.taobao.com/item.htm?id=100193748406</t>
    <phoneticPr fontId="3" type="noConversion"/>
  </si>
  <si>
    <t>AI净饮机Super2</t>
    <phoneticPr fontId="3" type="noConversion"/>
  </si>
  <si>
    <t>滤芯</t>
  </si>
  <si>
    <t>803885656308</t>
  </si>
  <si>
    <t>701580356529</t>
  </si>
  <si>
    <t>767040261901</t>
  </si>
  <si>
    <t>635160587789</t>
  </si>
  <si>
    <t>807961088973</t>
  </si>
  <si>
    <t>708553280044</t>
  </si>
  <si>
    <t>807917848763</t>
  </si>
  <si>
    <t>559056765682</t>
  </si>
  <si>
    <t>586376048074</t>
  </si>
  <si>
    <t>677884144071</t>
  </si>
  <si>
    <t>635163061647</t>
  </si>
  <si>
    <t>807927735137</t>
  </si>
  <si>
    <t>459261643633</t>
  </si>
  <si>
    <t>785237313543</t>
  </si>
  <si>
    <t>767843167002</t>
  </si>
  <si>
    <t>803743162506</t>
  </si>
  <si>
    <t>700600815325</t>
  </si>
  <si>
    <t>793933653451</t>
  </si>
  <si>
    <t>324556108932</t>
  </si>
  <si>
    <t>536574926395</t>
  </si>
  <si>
    <t>339695819374</t>
  </si>
  <si>
    <t>339703411807</t>
  </si>
  <si>
    <t>802126297044</t>
  </si>
  <si>
    <t>767842413605</t>
  </si>
  <si>
    <t>588394675892</t>
  </si>
  <si>
    <t>767838679865</t>
  </si>
  <si>
    <t>433785634580</t>
  </si>
  <si>
    <t>758622994348</t>
  </si>
  <si>
    <t>234685070448</t>
  </si>
  <si>
    <t>753127462026</t>
  </si>
  <si>
    <t>776310994617</t>
  </si>
  <si>
    <t>806255419038</t>
  </si>
  <si>
    <t>792629410385</t>
  </si>
  <si>
    <t>795148059934</t>
  </si>
  <si>
    <t>588094752805</t>
  </si>
  <si>
    <t>813333718216</t>
  </si>
  <si>
    <t>715447449392</t>
  </si>
  <si>
    <t>770100332050</t>
  </si>
  <si>
    <t>730440071496</t>
  </si>
  <si>
    <t>743890815694</t>
  </si>
  <si>
    <t>793917319297</t>
  </si>
  <si>
    <t>733089983200</t>
  </si>
  <si>
    <t>244055989700</t>
    <phoneticPr fontId="3" type="noConversion"/>
  </si>
  <si>
    <r>
      <t>2</t>
    </r>
    <r>
      <rPr>
        <sz val="11"/>
        <color theme="1"/>
        <rFont val="宋体"/>
        <family val="3"/>
        <charset val="134"/>
        <scheme val="minor"/>
      </rPr>
      <t>2827</t>
    </r>
    <phoneticPr fontId="3" type="noConversion"/>
  </si>
  <si>
    <t>https://detail.tmall.com/item.htm?id=902116631708</t>
  </si>
  <si>
    <t>6923185615415</t>
    <phoneticPr fontId="3" type="noConversion"/>
  </si>
  <si>
    <t>排序</t>
    <phoneticPr fontId="3" type="noConversion"/>
  </si>
  <si>
    <t>活动ID: 23149，20981</t>
    <phoneticPr fontId="3" type="noConversion"/>
  </si>
  <si>
    <t>活动类型</t>
    <phoneticPr fontId="3" type="noConversion"/>
  </si>
  <si>
    <t>百亿补贴</t>
    <phoneticPr fontId="3" type="noConversion"/>
  </si>
  <si>
    <t>【百亿消费券】单件折扣9.7折</t>
  </si>
  <si>
    <t>364990106384</t>
    <phoneticPr fontId="3" type="noConversion"/>
  </si>
  <si>
    <t>205458105137</t>
    <phoneticPr fontId="3" type="noConversion"/>
  </si>
  <si>
    <t>活动id</t>
    <phoneticPr fontId="3" type="noConversion"/>
  </si>
  <si>
    <t>可报名</t>
    <phoneticPr fontId="3" type="noConversion"/>
  </si>
  <si>
    <t>69码</t>
    <phoneticPr fontId="3" type="noConversion"/>
  </si>
  <si>
    <t>803869677994</t>
  </si>
  <si>
    <t>云米台式净饮机家用加热直饮一体台式免安装即热RO反渗透净水器</t>
  </si>
  <si>
    <t>Super2台净</t>
  </si>
  <si>
    <t>云米前置过滤器家用全屋净水器免换滤芯8T/h大流量管道自来水过滤</t>
  </si>
  <si>
    <t>6923185651772,6923185621058</t>
    <phoneticPr fontId="3" type="noConversion"/>
  </si>
  <si>
    <t>6923185651345</t>
    <phoneticPr fontId="3" type="noConversion"/>
  </si>
  <si>
    <t>6923185650966</t>
    <phoneticPr fontId="3" type="noConversion"/>
  </si>
  <si>
    <t>6923185656098</t>
    <phoneticPr fontId="3" type="noConversion"/>
  </si>
  <si>
    <t>云米鲲鹏加热净水器家用直饮一体机反渗透RO厨下式净水机3L开水</t>
    <phoneticPr fontId="3" type="noConversion"/>
  </si>
  <si>
    <t>803889750308</t>
    <phoneticPr fontId="3" type="noConversion"/>
  </si>
  <si>
    <t>6923185654254</t>
    <phoneticPr fontId="3" type="noConversion"/>
  </si>
  <si>
    <t>598235047829</t>
  </si>
  <si>
    <t>594345269322</t>
  </si>
  <si>
    <t>699079263190</t>
  </si>
  <si>
    <t>751388715611</t>
  </si>
  <si>
    <t>云米净水器1200G昆仑矿泉8年RO反渗透双出水直饮机厨下式净饮机</t>
  </si>
  <si>
    <t>820207679318</t>
  </si>
  <si>
    <t>621112681097</t>
  </si>
  <si>
    <t>702847562510</t>
  </si>
  <si>
    <t>725580151702</t>
  </si>
  <si>
    <t>矿泉净水器1000G通量6年长效RO7级精滤家用厨下直饮机净水机</t>
    <phoneticPr fontId="3" type="noConversion"/>
  </si>
  <si>
    <t>1200G</t>
  </si>
  <si>
    <t>云米净水器1200G 家用厨房净水机8年RO反渗透大通量双芯7级精滤</t>
    <phoneticPr fontId="3" type="noConversion"/>
  </si>
  <si>
    <t>云米管线机Master2S即热款家用厨房壁挂式多档调温秒速制热净水器</t>
    <phoneticPr fontId="3" type="noConversion"/>
  </si>
  <si>
    <t>云米净水器小蓝调600G+家用厨房厨下式6年RO反渗透以旧换新净水机</t>
    <phoneticPr fontId="3" type="noConversion"/>
  </si>
  <si>
    <t>小蓝调600G+</t>
  </si>
  <si>
    <t>云米净水器昆仑4Pro弱碱矿泉1400G 1200G厨下式净饮机8年RO反渗透</t>
    <phoneticPr fontId="3" type="noConversion"/>
  </si>
  <si>
    <t>昆仑4Pro</t>
    <phoneticPr fontId="3" type="noConversion"/>
  </si>
  <si>
    <t>焕新云米1S管线机壁挂式饮水机即热式直饮智控APP净水器UV紫外线</t>
    <phoneticPr fontId="3" type="noConversion"/>
  </si>
  <si>
    <t>1S管线机</t>
    <phoneticPr fontId="3" type="noConversion"/>
  </si>
  <si>
    <t>云米小海豚8T前置过滤器自动清洗家用全屋中央自来水40微米</t>
    <phoneticPr fontId="3" type="noConversion"/>
  </si>
  <si>
    <t>焕新云米净水器厨下式六年RO反渗透纯水机小白龙600G通量家用直饮</t>
    <phoneticPr fontId="3" type="noConversion"/>
  </si>
  <si>
    <t>云米管线机挂壁式饮水机智能电器速即热四档调节防干烧抑菌MG2-B</t>
    <phoneticPr fontId="3" type="noConversion"/>
  </si>
  <si>
    <t>焕新云米净水器小海豚600G通量家用厨下式Ro反渗透即热管线机套装</t>
    <phoneticPr fontId="3" type="noConversion"/>
  </si>
  <si>
    <t>747928848851</t>
  </si>
  <si>
    <t>750020143413</t>
  </si>
  <si>
    <t>694347891389</t>
  </si>
  <si>
    <t>692423843417</t>
  </si>
  <si>
    <t>579494726815</t>
  </si>
  <si>
    <t>692620586890</t>
  </si>
  <si>
    <t>705208556229</t>
  </si>
  <si>
    <t>635077617501</t>
  </si>
  <si>
    <t>603026022360</t>
  </si>
  <si>
    <t>823345227436</t>
  </si>
  <si>
    <t>800066911009</t>
  </si>
  <si>
    <t>706624809614</t>
  </si>
  <si>
    <t>637894411233</t>
  </si>
  <si>
    <t>693648645798</t>
  </si>
  <si>
    <t>637847252841</t>
  </si>
  <si>
    <t>676616913068</t>
  </si>
  <si>
    <t>784667773750</t>
  </si>
  <si>
    <t>644743907600</t>
  </si>
  <si>
    <t>597876550678</t>
  </si>
  <si>
    <t>800065146863</t>
  </si>
  <si>
    <t>滤芯</t>
    <phoneticPr fontId="6" type="noConversion"/>
  </si>
  <si>
    <t>云米小蓝调小海豚400G/600G净水器滤芯1号5in1复合2号RO反渗透</t>
  </si>
  <si>
    <t>云米净水器滤芯PP棉前后置活性炭24号仅前置后置滤芯400G 600G</t>
  </si>
  <si>
    <t>云米净水器滤芯5in1复合滤芯Super Pro800G-1000G全新升级过滤</t>
  </si>
  <si>
    <t>云米小蓝调小海豚小白龙400G/600G净水器滤芯1号5in1复合2号RO</t>
  </si>
  <si>
    <t>云米净水器C1 V1 V2 X5系列400G/500G/600G滤芯1234号通用套装</t>
  </si>
  <si>
    <t>云米小蓝调小海豚净水器系列400G600G滤芯5in1 2号RO反渗透滤芯</t>
  </si>
  <si>
    <t>云米1000G净水器即热管线机两件套厨下0陈水复合一体滤芯全屋直饮</t>
  </si>
  <si>
    <t>云米净水器滤芯原装Super-Vision澎湃系列专用活性炭超滤5in1复合</t>
  </si>
  <si>
    <t>云米净水器小白龙800G滤芯5in1复合滤芯800G反渗透滤芯MR832-D</t>
  </si>
  <si>
    <t>云米净水器400G600G厨上式厨下式滤芯PP棉前置后置活性炭RO反渗透</t>
  </si>
  <si>
    <t>焕新云米净水器家用小白龙1000G+纯水机厨下式0陈水复合一体滤芯</t>
  </si>
  <si>
    <t>云米小蓝调小海豚600G+净水器专用复合滤芯深层精滤2年长效升级款</t>
  </si>
  <si>
    <t>云米净水器家用厨下式0陈水复合一体滤芯1000G冷热管线机两件套</t>
  </si>
  <si>
    <t>云米前置过滤器VF4-A免换滤芯家用防爆一体8T/h大流量全自动旋转</t>
  </si>
  <si>
    <t>云米净水器滤芯C1/C2/V1/V2/X5系列1234号pp棉、活性炭、RO膜滤芯</t>
  </si>
  <si>
    <t>云米净水器家用厨房母婴直饮厨下复合一体滤芯950G大通量小海豚2</t>
  </si>
  <si>
    <t>云米净水器家用净水机昆仑4弱碱矿泉1200G净矿净饮机8年RO滤芯</t>
  </si>
  <si>
    <t>云米净水器滤芯400G 600G PP棉前后置活性炭1 2 4号滤芯</t>
  </si>
  <si>
    <t>云米Super系列Pro净水器Vision复合滤芯5in1反渗透RO1000G/1200G</t>
  </si>
  <si>
    <t>云米净水器滤芯厨下式Fast3家用5in1复合滤芯ro反渗透滤芯S2云米</t>
  </si>
  <si>
    <t>云米Super 2 1200G净水器竹炭PCB复合滤芯2年长效</t>
  </si>
  <si>
    <t>云米小蓝调小海豚厨下400G净水器400GRO反渗透滤芯</t>
  </si>
  <si>
    <t>云米净水器1000G家用厨房过滤母婴直饮厨下式复合一体滤芯小海豚2</t>
  </si>
  <si>
    <t>云米净水器Fast3系列5in1复合滤芯长效RO反渗透1000G尼莫兰星耀白</t>
  </si>
  <si>
    <t>焕新云米1000G净水器速热管线机两件套家用直饮纯水复合一体滤芯</t>
  </si>
  <si>
    <t>云米净水器小白龙800G5in1复合滤芯小海豚小蓝调600G+RO反渗透</t>
  </si>
  <si>
    <t>云米净水器950G家用厨房过滤母婴直饮厨下式复合一体滤芯小海豚2</t>
  </si>
  <si>
    <t>414747194884</t>
  </si>
  <si>
    <t>云米净饮一体机台式净水器即热型饮水机家用免安装X2加一支滤芯套</t>
  </si>
  <si>
    <t>焕新云米净水器厨下式Ro反渗透直饮家用小白龙600G管线机两件套</t>
  </si>
  <si>
    <t>630290204916</t>
  </si>
  <si>
    <t>580271708587</t>
  </si>
  <si>
    <t>460746071340</t>
  </si>
  <si>
    <t>557294936690</t>
  </si>
  <si>
    <t>497657090804</t>
  </si>
  <si>
    <t>云米冷热管线机壁挂式家用即热直饮水机APP全通量适配UV杀菌2E</t>
    <phoneticPr fontId="3" type="noConversion"/>
  </si>
  <si>
    <t>即热直饮水机2E</t>
    <phoneticPr fontId="3" type="noConversion"/>
  </si>
  <si>
    <t>云米净水器套装小白龙600G即热管线机两件套厨下式纯水直饮家用</t>
    <phoneticPr fontId="3" type="noConversion"/>
  </si>
  <si>
    <t>云米管线机挂壁式饮水机智能电器速即热四档调节防干烧抑菌</t>
    <phoneticPr fontId="3" type="noConversion"/>
  </si>
  <si>
    <t>管线机MG2-B</t>
    <phoneticPr fontId="3" type="noConversion"/>
  </si>
  <si>
    <t>云米净水器双出水Super 2 1200G母婴直饮RO反渗透纯水机过滤0陈水</t>
    <phoneticPr fontId="3" type="noConversion"/>
  </si>
  <si>
    <t>云米净水器小白龙800G滤芯5in1复合滤芯800G反渗透滤芯MR832-D</t>
    <phoneticPr fontId="3" type="noConversion"/>
  </si>
  <si>
    <t>218483863815</t>
  </si>
  <si>
    <t>218505586082</t>
  </si>
  <si>
    <t>267265122633</t>
  </si>
  <si>
    <t>270574611944</t>
  </si>
  <si>
    <t>324013287297</t>
  </si>
  <si>
    <t>云米1200G净水器套装家用大通量母婴直饮RO反渗透泉先厨房过滤器</t>
  </si>
  <si>
    <t>398385489184</t>
  </si>
  <si>
    <t>云米管线机二代壁挂式家用即热饮水机适用市场主流沁园美的净水器</t>
  </si>
  <si>
    <t>477426828033</t>
  </si>
  <si>
    <t>495987034419</t>
  </si>
  <si>
    <t>云米净水器家用1200G厨下式直饮机RO反渗透纯水机过滤器Super 2</t>
  </si>
  <si>
    <t>544154305763</t>
  </si>
  <si>
    <t>云米即热管线机壁挂式家用直饮机冷热两用UV杀菌饮水机Master 3</t>
  </si>
  <si>
    <t>653045341425</t>
  </si>
  <si>
    <t>云米管线机壁挂式智能炫彩屏UV除菌一键即热APP智控饮水机</t>
  </si>
  <si>
    <t>686528560035</t>
  </si>
  <si>
    <t>云米鲜活泉净水器1000G大通量家用净水机 厨下式双出水饮水机</t>
  </si>
  <si>
    <t>686546447290</t>
  </si>
  <si>
    <t>云米昆仑矿泉家用净水器1000G净热一体机 厨下一键加热净饮水器</t>
  </si>
  <si>
    <t>710076765782</t>
  </si>
  <si>
    <t>云米Super2/Super2max净水器滤芯PCB复合滤芯</t>
  </si>
  <si>
    <t>712535866404</t>
  </si>
  <si>
    <t>云米家用壁挂式管线机全通量适用定量定温取水管线机安全童锁保护</t>
  </si>
  <si>
    <t>云米Super Y/S1000G/1200G/1400G净水器滤芯</t>
  </si>
  <si>
    <t>784296372103</t>
  </si>
  <si>
    <t>云米净水器600G小海豚升级版厨下式RO反渗透直饮家用净化</t>
  </si>
  <si>
    <t>784305138753</t>
  </si>
  <si>
    <t>云米小海豚1000G净水器厨下式大通量纯水机3年长效RO滤芯</t>
  </si>
  <si>
    <t>788962714698</t>
  </si>
  <si>
    <t>【包装微瑕】云米前置过滤器自来水全屋净水自动清洗排污大通量</t>
  </si>
  <si>
    <t>796359583285</t>
  </si>
  <si>
    <t>803604942488</t>
  </si>
  <si>
    <t>云米昆仑4 冰块净水器矿泉净水机家用台式免安装全自动制冰净饮机</t>
  </si>
  <si>
    <t>821452589412</t>
  </si>
  <si>
    <t>云米净水器滤芯澎湃系列1000G/800G净水器复合滤芯+RO反渗透滤芯</t>
  </si>
  <si>
    <t>云米( VIOMI )前置过滤器Super/VF3-A/小海豚小厨宝/窗帘电机轨道</t>
    <phoneticPr fontId="3" type="noConversion"/>
  </si>
  <si>
    <t>过滤器</t>
  </si>
  <si>
    <t>云米煮茶器蒸汽喷淋小型家用保温智能防干烧茶炉养生电茶壶升级款</t>
    <phoneticPr fontId="3" type="noConversion"/>
  </si>
  <si>
    <t>煮茶器</t>
  </si>
  <si>
    <t>云米净饮一体机X1净水器配件1号复合/2号反渗透RO膜3号活性炭滤芯</t>
    <phoneticPr fontId="3" type="noConversion"/>
  </si>
  <si>
    <t>云米管线机壁挂式家用直饮机一键速热饮水机台式两用厨下式净水器</t>
    <phoneticPr fontId="3" type="noConversion"/>
  </si>
  <si>
    <t>云米净水器家用1200G直饮机RO反渗透泉先净水机大通量Super Pro</t>
    <phoneticPr fontId="3" type="noConversion"/>
  </si>
  <si>
    <t>云米澎湃家用净水器1000G厨房过滤器饮水机RO反渗透纯水机直饮机</t>
    <phoneticPr fontId="3" type="noConversion"/>
  </si>
  <si>
    <t>1000G</t>
  </si>
  <si>
    <t>云米净水器家用直饮加热一体机RO反渗透1键即热纯水机母婴1000G</t>
    <phoneticPr fontId="3" type="noConversion"/>
  </si>
  <si>
    <t>云米净水器套装澎湃1000G家用厨房过滤器纯水机直饮机5年长效RO膜</t>
    <phoneticPr fontId="3" type="noConversion"/>
  </si>
  <si>
    <t>云米前置过滤器全自动自动清洗全屋6T家用中央净水器终身免换滤芯</t>
    <phoneticPr fontId="3" type="noConversion"/>
  </si>
  <si>
    <t>云米净水器滤芯通用5合1复合滤芯Super/Easy-3/X2反渗透滤芯</t>
    <phoneticPr fontId="3" type="noConversion"/>
  </si>
  <si>
    <t>小白龙600G</t>
    <phoneticPr fontId="3" type="noConversion"/>
  </si>
  <si>
    <t>云米冰块净水器昆仑4矿泉净饮机家用台式免安装全自动制冰机</t>
    <phoneticPr fontId="3" type="noConversion"/>
  </si>
  <si>
    <t>昆仑4</t>
  </si>
  <si>
    <t>351897325475</t>
  </si>
  <si>
    <t>359229505334</t>
  </si>
  <si>
    <t>359230950827</t>
  </si>
  <si>
    <t>360368497826</t>
  </si>
  <si>
    <t>云米前置过滤器家用全屋净水器反冲洗免换滤芯大流量自来水VF3-A</t>
  </si>
  <si>
    <t>360889533266</t>
  </si>
  <si>
    <t>云米即热式管线机uv杀菌4挡调温超薄壁挂母婴直饮速热饮水机MG2-B</t>
  </si>
  <si>
    <t>363339614930</t>
  </si>
  <si>
    <t>云米泉先净水器劝全屋净水套装前置过滤器UV抑菌管线机SupPro1200</t>
  </si>
  <si>
    <t>366254562628</t>
  </si>
  <si>
    <t>云米净水器滤芯1A/400G、500G家用云米S2,Fast3,Mee、Quick5、X2</t>
  </si>
  <si>
    <t>392250716468</t>
  </si>
  <si>
    <t>云米净水器前置过滤器中央净水器抑菌管线机直饮机全屋净水器套餐</t>
  </si>
  <si>
    <t>403155215848</t>
  </si>
  <si>
    <t>云米净水器家用厨下式原厂 零陈水反渗透纯水机水博士1000G正品</t>
  </si>
  <si>
    <t>426536963776</t>
  </si>
  <si>
    <t>云米管线机家用壁挂式饮水机UV杀菌 速热直饮机净水器搭档MG2-B</t>
  </si>
  <si>
    <t>426541969447</t>
  </si>
  <si>
    <t>云米管线机即热壁挂式家用 智能互联饮水机净水器反渗透搭档MG2-A</t>
  </si>
  <si>
    <t>433749227368</t>
  </si>
  <si>
    <t>云米喷淋煮茶器小型米白色煮茶壶家用电水壶热水壶蒸汽喷淋泡茶机</t>
  </si>
  <si>
    <t>云米Super S/Super Y系列1000/1200G滤芯 复合滤芯 RO反渗透家用</t>
  </si>
  <si>
    <t>433791622833</t>
  </si>
  <si>
    <t>云米(VIOMI) 小云米净水器Super、Vision1000G/1200G复合滤芯</t>
  </si>
  <si>
    <t>459267823573</t>
  </si>
  <si>
    <t>475210055336</t>
  </si>
  <si>
    <t>净水器家用厨下净水机 零陈水反渗透纯水机大流量1000G智能直饮机</t>
  </si>
  <si>
    <t>475213920815</t>
  </si>
  <si>
    <t>云米净水器家用厨下净水机 零陈水净化反渗透纯水机1000G直饮机</t>
  </si>
  <si>
    <t>480933976775</t>
  </si>
  <si>
    <t>超薄壁挂管线机家用直饮机 净水器搭档 24小时UV冷热全自动一体机</t>
  </si>
  <si>
    <t>555010619298</t>
  </si>
  <si>
    <t>云米管线机家用 壁挂式饮水机UV功能 速热即饮智能冷热两用管线机</t>
  </si>
  <si>
    <t>571085323129</t>
  </si>
  <si>
    <t>云米家用净水器 净化加热一体 RO反渗透纯净水 速热壁挂管线机</t>
  </si>
  <si>
    <t>571112490985</t>
  </si>
  <si>
    <t>573897854421</t>
  </si>
  <si>
    <t>云米家用净水器 智能 RO反渗透纯净水一体速热壁挂管线机厨房台式</t>
  </si>
  <si>
    <t>579975215140</t>
  </si>
  <si>
    <t>585484005023</t>
  </si>
  <si>
    <t>云米净水器家用净水机1000G 6年RO反渗透大通量 厨下直饮鲜活水</t>
  </si>
  <si>
    <t>586783672641</t>
  </si>
  <si>
    <t>云米净水器滤芯S2系列400G/600G厨下式1A增强版通用系列升级版</t>
  </si>
  <si>
    <t>云米台式即热净饮机滤芯五合一、RO滤芯 适用Super 2/X2/X2 Face</t>
  </si>
  <si>
    <t>588677195906</t>
  </si>
  <si>
    <t>云米即热式饮水机台式家用小型桌面一键速热电热水壶烧水壶直饮机</t>
  </si>
  <si>
    <t>590227618209</t>
  </si>
  <si>
    <t>云米(VIOMI)前置过滤器自动清洗 全屋净水器智能7.9T滤水器 Super</t>
  </si>
  <si>
    <t>633255566536</t>
  </si>
  <si>
    <t>云米净水器1200G大通量+家用直饮水机管线机壁挂式加热直饮一体机</t>
  </si>
  <si>
    <t>634922379431</t>
  </si>
  <si>
    <t>云米净水器鲜活泉1000G 家用净水机6年RO反渗透大通量 25年新款</t>
  </si>
  <si>
    <t>635152945371</t>
  </si>
  <si>
    <t>云米净水器鲜活泉1000G净水机 6年RO反渗透 管线机净热一体套装</t>
  </si>
  <si>
    <t>云米昆仑矿泉即热净水器1000G鲜活水 家用厨下直饮加热净水机</t>
  </si>
  <si>
    <t>云米净水器家用净水机1000G小昆仑鲜活矿泉物质双出水机RO反渗透</t>
  </si>
  <si>
    <t>701581069770</t>
  </si>
  <si>
    <t>701581276222</t>
  </si>
  <si>
    <t>云米昆仑1200G净水器家用厨下式直饮过滤器RO反渗透母婴净水机</t>
  </si>
  <si>
    <t>702432053335</t>
  </si>
  <si>
    <t>管线机壁挂式 直饮机家用净水器伴侣速热制冷饮水机 UV杀菌即热</t>
  </si>
  <si>
    <t>云米净水器鲜活泉1000G 家用净水机6年RO反渗透大通量 2025年新款</t>
  </si>
  <si>
    <t>737395176273</t>
  </si>
  <si>
    <t>767039525179</t>
  </si>
  <si>
    <t>云米净水器家用净水机昆仑4弱碱矿泉1200G 冷热管线机壁挂式套装</t>
  </si>
  <si>
    <t>785234630799</t>
  </si>
  <si>
    <t>云米管线升级1000G净水器小海豚厨下式家用直饮厨下RO反渗透</t>
  </si>
  <si>
    <t>云米净水器鲜活泉1000G 家用净水机6年RO反渗透大通量 25年新款</t>
    <phoneticPr fontId="3" type="noConversion"/>
  </si>
  <si>
    <t>云米净水器厨下纯水机反渗透RO机家用大通量净水机Super Pro1200G</t>
    <phoneticPr fontId="3" type="noConversion"/>
  </si>
  <si>
    <t>云米净水器滤芯小家用台式小白龙400G全套滤芯1号5in1复合</t>
    <phoneticPr fontId="3" type="noConversion"/>
  </si>
  <si>
    <t>云米家用净水器 净化加热一体 RO反渗透纯净水 速热壁挂管线机</t>
    <phoneticPr fontId="3" type="noConversion"/>
  </si>
  <si>
    <t>云米净水器家用水博士1400G厨下直饮机RO反渗透全自动6年长效滤芯</t>
    <phoneticPr fontId="3" type="noConversion"/>
  </si>
  <si>
    <t>云米(VIOMI)前置过滤器自动清洗 全屋净水器7.9T大通量家用滤水器</t>
    <phoneticPr fontId="3" type="noConversion"/>
  </si>
  <si>
    <t>云米净水器滤芯澎湃、 Easy3系列 5in1滤芯RO膜</t>
    <phoneticPr fontId="3" type="noConversion"/>
  </si>
  <si>
    <t>云米净水器X1滤芯即热净水机1号PAC复合芯反渗透RO膜后置活性炭</t>
    <phoneticPr fontId="3" type="noConversion"/>
  </si>
  <si>
    <t>净水器X1</t>
  </si>
  <si>
    <t>云米24m³大吸力顶侧3吸油烟机猛火灶烟灶联动套装厨房家用Super</t>
    <phoneticPr fontId="3" type="noConversion"/>
  </si>
  <si>
    <t>云米新品净水器600G小海豚厨下式升级RO反渗透直饮家用</t>
    <phoneticPr fontId="3" type="noConversion"/>
  </si>
  <si>
    <t>587725854027</t>
  </si>
  <si>
    <t>云米小海豚1000G双出水净水器5年RO反渗透过滤厨下式净水机直饮</t>
  </si>
  <si>
    <t>587764316466</t>
  </si>
  <si>
    <t>云米小海豚8T前置过滤器自动清洗家用全屋中央自来水40微米精滤</t>
  </si>
  <si>
    <t>587781919045</t>
  </si>
  <si>
    <t>云米澎湃1000G双出水净水器5年RO反渗透厨房过滤器</t>
  </si>
  <si>
    <t>587891448021</t>
  </si>
  <si>
    <t>587894489367</t>
  </si>
  <si>
    <t>云米1200G双出水净水器厨下式6年RO反渗透Super 2纯水机触控厨房</t>
  </si>
  <si>
    <t>587980576746</t>
  </si>
  <si>
    <t>云米管线机壁挂式即热直饮杀菌加热家用防干烧童锁净水器使用</t>
  </si>
  <si>
    <t>588093744579</t>
  </si>
  <si>
    <t>云米1000G双出水净水器前置过滤器两件套全屋过滤RO反渗透大通量</t>
  </si>
  <si>
    <t>588094331182</t>
  </si>
  <si>
    <t>云米1000G双出水净水器管线机两件套装壁挂即热厨下式RO反渗透</t>
  </si>
  <si>
    <t>590438347184</t>
  </si>
  <si>
    <t>云米水盒子适用小蓝调小白龙厨上厨下净水器管线机泡茶分流配件</t>
  </si>
  <si>
    <t>591167054442</t>
  </si>
  <si>
    <t>云米X2台式净饮机净水器一体即热桌面免安装大容量家用小型APP控</t>
  </si>
  <si>
    <t>592517044286</t>
  </si>
  <si>
    <t>592764656231</t>
  </si>
  <si>
    <t>云米小白龙800G净水器5年RO反渗透厨下式家用厨房直饮纯水过滤</t>
  </si>
  <si>
    <t>592765159604</t>
  </si>
  <si>
    <t>593207148747</t>
  </si>
  <si>
    <t>云米1000G净水器速热管线机两件套壁挂式饮水机家用直饮复合一体</t>
  </si>
  <si>
    <t>593471216946</t>
  </si>
  <si>
    <t>云米Wing A1侧吸式抽油烟机挥手智控APP自动清洗烟灶联动AI静音</t>
  </si>
  <si>
    <t>598229913958</t>
  </si>
  <si>
    <t>云米X2系列复合滤芯RO反渗透滤芯可用X2 Face/X2 mini Mango</t>
  </si>
  <si>
    <t>601202373075</t>
  </si>
  <si>
    <t>云米净水器滤芯适配小蓝调小海豚400G小白龙小京龙复合RO反渗透</t>
  </si>
  <si>
    <t>623337411299</t>
  </si>
  <si>
    <t>云米净水器RO反渗透滤芯小白龙小京龙800G蓝调600G复合滤芯5in1</t>
  </si>
  <si>
    <t>630294574684</t>
  </si>
  <si>
    <t>云米壁挂式家用管线机冷热两用直饮水机全通量适配UV杀菌智联APP</t>
  </si>
  <si>
    <t>635078487946</t>
  </si>
  <si>
    <t>云米小海豚1000G净水器RO反渗透过滤厨下式直饮家用厨房双出水</t>
  </si>
  <si>
    <t>635161525233</t>
  </si>
  <si>
    <t>637351029284</t>
  </si>
  <si>
    <t>云米X1台式净水器系列PAC复合滤芯RO反渗透滤芯后置活性炭棒滤芯</t>
  </si>
  <si>
    <t>637397186167</t>
  </si>
  <si>
    <t>云米Super Pro1200G净水器滤芯5in1复合反渗透RO滤芯400G/800G</t>
  </si>
  <si>
    <t>639176624184</t>
  </si>
  <si>
    <t>云米1000G双出水净水器冷热管线机两件套装壁挂厨下式RO反渗透</t>
  </si>
  <si>
    <t>639177340089</t>
  </si>
  <si>
    <t>云米1000G双出水净水器冷热管线机前置过滤器三件套装RO反渗透</t>
  </si>
  <si>
    <t>644680445322</t>
  </si>
  <si>
    <t>云米1000G双出水净水器厨下式6年RO反渗透Super 2纯水机触控厨房</t>
  </si>
  <si>
    <t>647358036777</t>
  </si>
  <si>
    <t>云米昆仑矿泉1000G净水器厨下式母婴直饮双出水数显龙头Super 2E</t>
  </si>
  <si>
    <t>653824280907</t>
  </si>
  <si>
    <t>688287770640</t>
  </si>
  <si>
    <t>698046727730</t>
  </si>
  <si>
    <t>698973367339</t>
  </si>
  <si>
    <t>云米昆仑矿泉1000G净水器厨下式直饮双出水Super2E家用厨房RO滤芯</t>
  </si>
  <si>
    <t>698973724674</t>
  </si>
  <si>
    <t>云米鲜活泉1200G双出水纯天然净水器直饮RO反渗透纯水Super 2Y</t>
  </si>
  <si>
    <t>700536197006</t>
  </si>
  <si>
    <t>【政府补贴20%】云米澎湃1000G净水器双出水反渗透RO纯水机厨下式</t>
  </si>
  <si>
    <t>701238448727</t>
  </si>
  <si>
    <t>云米净水器家用鲜活泉1000G厨下式直饮母婴6年RO反渗透家用厨房</t>
  </si>
  <si>
    <t>702741156781</t>
  </si>
  <si>
    <t>云米小蓝调600G+净水器RO反渗透过滤厨下式母婴直饮家用厨房纯水</t>
  </si>
  <si>
    <t>702749688397</t>
  </si>
  <si>
    <t>702850440240</t>
  </si>
  <si>
    <t>713579553368</t>
  </si>
  <si>
    <t>云米小白龙800G+升级款净水器厨下式纯水机RO反渗透过滤家用直饮</t>
  </si>
  <si>
    <t>[政府补贴20%]云米澎湃1000G净水器双出水反渗透RO厨下家用直饮</t>
  </si>
  <si>
    <t>717828133675</t>
  </si>
  <si>
    <t>云米小蓝调600G+净水器壁挂式管线机两件套装壁挂家用RO反渗透</t>
  </si>
  <si>
    <t>717834241860</t>
  </si>
  <si>
    <t>云米小蓝调600G净水器管线机前置过滤器三件套家用RO反渗透壁挂式</t>
  </si>
  <si>
    <t>717836739717</t>
  </si>
  <si>
    <t>云米小蓝调600G+净水器冷热管线机两件套装家用直饮RO反渗透过滤</t>
  </si>
  <si>
    <t>717841014755</t>
  </si>
  <si>
    <t>云米小蓝调600G+净水器白色管线机前置过滤器三件套家用纯水直饮</t>
  </si>
  <si>
    <t>717848348377</t>
  </si>
  <si>
    <t>云米鲜活泉800G升级款净水器管线机两套装RO反渗透纯水直饮家用</t>
  </si>
  <si>
    <t>717850688722</t>
  </si>
  <si>
    <t>云米小白龙800G+净水器管线机前置过滤器三件套家用反渗透厨下式</t>
  </si>
  <si>
    <t>719289538781</t>
  </si>
  <si>
    <t>云米鲜活泉800G+升级款净水器大屏冷热管线机两套装六年RO反渗透</t>
  </si>
  <si>
    <t>719295611799</t>
  </si>
  <si>
    <t>云米小白龙800G净水器白色管线机两件套家用直饮水RO反渗透过滤</t>
  </si>
  <si>
    <t>云米鲜活泉800G升级款净水器大屏冷热管线机两套装六年RO反渗透</t>
  </si>
  <si>
    <t>734925735225</t>
  </si>
  <si>
    <t>云米小白龙800G净水器RO反渗透过滤家用直饮厨下式净水机700G</t>
  </si>
  <si>
    <t>云米鲜活泉800G+升级款净水器管线机两套装RO反渗透纯水直饮家用</t>
  </si>
  <si>
    <t>780605845499</t>
  </si>
  <si>
    <t>780693742114</t>
  </si>
  <si>
    <t>780695900762</t>
  </si>
  <si>
    <t>784301320321</t>
  </si>
  <si>
    <t>云米净水器小海豚600G+厨下式6年RO过滤反渗透直饮家用厨房</t>
  </si>
  <si>
    <t>云米直饮净水器家用小海豚600G+厨下式RO反渗透前置过滤器两件套</t>
  </si>
  <si>
    <t>793925403205</t>
  </si>
  <si>
    <t>802118902428</t>
  </si>
  <si>
    <t>云米净水器小白龙600G通量厨下式家用直饮六年RO反渗透过滤纯水机</t>
  </si>
  <si>
    <t>803059212022</t>
  </si>
  <si>
    <t>云米净水器小海豚600G家用厨下式Ro反渗透即热管线机前置过滤器</t>
  </si>
  <si>
    <t>803063540544</t>
  </si>
  <si>
    <t>云米净水器家用直饮厨下复合一体滤芯1000G通量前置过滤器两件套</t>
  </si>
  <si>
    <t>803066015529</t>
  </si>
  <si>
    <t>云米净水器家用直饮厨下复合一体滤芯小海豚2 1000G即热管线机</t>
  </si>
  <si>
    <t>803068090323</t>
  </si>
  <si>
    <t>云米净水器家用直饮厨下小海豚2 1000G即热管线机前置过滤器套装</t>
  </si>
  <si>
    <t>813334200657</t>
  </si>
  <si>
    <t>焕新云米净水器家用厨下式复合一体滤芯1000G冷热管线机两件套</t>
  </si>
  <si>
    <t>820790398313</t>
  </si>
  <si>
    <t>820794263885</t>
  </si>
  <si>
    <t>云米净水器家用直饮厨下1000G通量冷热管线机前置过滤器三件套</t>
  </si>
  <si>
    <t>820796876346</t>
  </si>
  <si>
    <t>820797076058</t>
  </si>
  <si>
    <t>云米1000G净水器即热管线机前置过滤器三件套家用厨下全屋直饮</t>
  </si>
  <si>
    <t>820797196524</t>
  </si>
  <si>
    <t>云米净水器家用厨下式复合一体滤芯1000G冷热管线机过滤器三件套</t>
  </si>
  <si>
    <t>825465416773</t>
  </si>
  <si>
    <t>828966879524</t>
  </si>
  <si>
    <t>云米净水器家用加热直饮一体净饮机台式桌面即热RO反渗透6L大水箱</t>
  </si>
  <si>
    <t>831254677232</t>
  </si>
  <si>
    <t>云米1000G净水器大屏管线机前置过滤器三件套家用厨下式直饮纯水</t>
    <phoneticPr fontId="3" type="noConversion"/>
  </si>
  <si>
    <r>
      <t>1</t>
    </r>
    <r>
      <rPr>
        <sz val="11"/>
        <color theme="1"/>
        <rFont val="宋体"/>
        <family val="3"/>
        <charset val="134"/>
        <scheme val="minor"/>
      </rPr>
      <t>200G</t>
    </r>
    <phoneticPr fontId="3" type="noConversion"/>
  </si>
  <si>
    <t>1S管线机</t>
  </si>
  <si>
    <t>2S管线机</t>
  </si>
  <si>
    <t>云米1S管线机壁挂式饮水机即热式直饮智控APP净水器伴侣UV紫外线</t>
    <phoneticPr fontId="3" type="noConversion"/>
  </si>
  <si>
    <t>云米2S管线机壁挂式饮水机即热式直饮智控APP净水器伴侣UV紫外线</t>
    <phoneticPr fontId="3" type="noConversion"/>
  </si>
  <si>
    <t>[政府补贴20%]云米X2台式净饮机净水器一体即热桌面免安装大容量</t>
    <phoneticPr fontId="3" type="noConversion"/>
  </si>
  <si>
    <t>X2台式净饮机</t>
  </si>
  <si>
    <t>云米净水器家用厨下式小海豚600G+通量Ro反渗透即热管线机两件套</t>
    <phoneticPr fontId="3" type="noConversion"/>
  </si>
  <si>
    <t>云米净水器家用直饮厨下1000G通量大屏管线机前置过滤器三件套</t>
    <phoneticPr fontId="3" type="noConversion"/>
  </si>
  <si>
    <t>云米净水器家用昆仑4弱碱矿泉1200G净矿8年RO反渗透矿物质直饮</t>
    <phoneticPr fontId="3" type="noConversion"/>
  </si>
  <si>
    <t>云米净水器家用昆仑4Pro弱碱矿泉1400G净矿8年RO反渗透直饮机厨下</t>
    <phoneticPr fontId="3" type="noConversion"/>
  </si>
  <si>
    <t>1400G</t>
  </si>
  <si>
    <t>云米净水器小白龙600G厨下式家用直饮RO反渗透纯水过滤净水机</t>
    <phoneticPr fontId="3" type="noConversion"/>
  </si>
  <si>
    <t>云米矿泉净水器家用直饮加热一体机净热厨下式净水机昆仑4 3L开水</t>
    <phoneticPr fontId="3" type="noConversion"/>
  </si>
  <si>
    <t>云米冷热管线机独立水路即热壁挂式台式两用速热Master 3通量适配</t>
    <phoneticPr fontId="3" type="noConversion"/>
  </si>
  <si>
    <t>Master 3</t>
  </si>
  <si>
    <t>云米全自动制冰机昆仑4冷热矿泉一体净饮机家用即热台式RO反渗透</t>
    <phoneticPr fontId="3" type="noConversion"/>
  </si>
  <si>
    <t>云米鲜活泉1200G双出水纯天然净水器家用直饮零陈水母婴Super 2Y</t>
    <phoneticPr fontId="3" type="noConversion"/>
  </si>
  <si>
    <t>云米鲜活泉800G+升级款净水器大屏冷热管线机两套装六年RO反渗透</t>
    <phoneticPr fontId="3" type="noConversion"/>
  </si>
  <si>
    <t>800G</t>
  </si>
  <si>
    <t>云米小海豚8T前置过滤器自动清洗家用全屋中央自来水40微米精滤</t>
    <phoneticPr fontId="3" type="noConversion"/>
  </si>
  <si>
    <t>1000G</t>
    <phoneticPr fontId="6" type="noConversion"/>
  </si>
  <si>
    <t>785258871263</t>
  </si>
  <si>
    <t>【冷热直饮】云米净水器套装家用厨房厨下式大通量净水器ro反渗透</t>
  </si>
  <si>
    <t>705265747606</t>
  </si>
  <si>
    <t>【重磅新品】云米净水器600G+小海豚升级厨下式RO反渗透直饮家用</t>
  </si>
  <si>
    <t>785246684461</t>
  </si>
  <si>
    <t>2025款多种J配件盒子假83</t>
  </si>
  <si>
    <t>827559682792</t>
  </si>
  <si>
    <t>2025款多种L配件盒子持31</t>
  </si>
  <si>
    <t>828990093359</t>
  </si>
  <si>
    <t>补差专属链接(单拍不发货)</t>
  </si>
  <si>
    <t>612551125752</t>
  </si>
  <si>
    <t>云米tds水质测试笔高灵敏度数显家用自来水纯净水杂质纯度检测</t>
  </si>
  <si>
    <t>747935203808</t>
  </si>
  <si>
    <t>云米厨下式净水器家用直饮净水器ro反渗透自来水净水机蓝调800G</t>
  </si>
  <si>
    <t>595742622674</t>
  </si>
  <si>
    <t>云米净水器2025新款家用小蓝调600G PRO6年RO反渗透厨下式净水机</t>
    <phoneticPr fontId="6" type="noConversion"/>
  </si>
  <si>
    <t>826073131257</t>
  </si>
  <si>
    <t>云米净水器家用直饮管线ro厨下式反渗透RO自来水净水机蓝调800</t>
  </si>
  <si>
    <t>615061477744</t>
  </si>
  <si>
    <t>云米净水器全屋家用直饮净水器ro反渗透自来水净水机蓝调800G</t>
    <phoneticPr fontId="6" type="noConversion"/>
  </si>
  <si>
    <t>601188523521</t>
  </si>
  <si>
    <t>云米净水器小蓝调厨下家用6年反渗透双重净滤蓝调600+smart前置</t>
  </si>
  <si>
    <t>773744670460</t>
  </si>
  <si>
    <t>云米昆仑4家用净水器直饮加热一体机 3L开水厨下真沸腾净水机</t>
  </si>
  <si>
    <t>一体机</t>
  </si>
  <si>
    <t>751399814412</t>
  </si>
  <si>
    <t>云米昆仑净水器母婴直饮厨下式大通量RO反渗透一级水效母婴直饮</t>
  </si>
  <si>
    <t>651961935231</t>
  </si>
  <si>
    <t>云米昆仑矿泉净水机母婴直饮家用富锶净水器超滤矿物质厨下饮水机</t>
  </si>
  <si>
    <t>601556365931</t>
  </si>
  <si>
    <t>云米小海豚8T前置过滤器自动清洗家用全屋中央自来水40微米流量</t>
    <phoneticPr fontId="6" type="noConversion"/>
  </si>
  <si>
    <t>638662998277</t>
  </si>
  <si>
    <t>826104024485</t>
  </si>
  <si>
    <t>751351610000</t>
  </si>
  <si>
    <t>云米净水器小京龙2净矿双出水直饮1200G矿物质RO反渗透厨下式</t>
    <phoneticPr fontId="3" type="noConversion"/>
  </si>
  <si>
    <t>云米智能电器旗舰店</t>
  </si>
  <si>
    <t>云米净水设备旗舰店</t>
  </si>
  <si>
    <t>云米净饮水旗舰店</t>
  </si>
  <si>
    <t>云米电器旗舰店</t>
  </si>
  <si>
    <t>云米全屋净水器旗舰店</t>
  </si>
  <si>
    <t>店铺</t>
    <phoneticPr fontId="3" type="noConversion"/>
  </si>
  <si>
    <t>备注</t>
    <phoneticPr fontId="3" type="noConversion"/>
  </si>
  <si>
    <t>官旗（自营）</t>
    <phoneticPr fontId="3" type="noConversion"/>
  </si>
  <si>
    <t>净饮（北京汇美）</t>
    <phoneticPr fontId="3" type="noConversion"/>
  </si>
  <si>
    <t>净水（佛山臻兴）</t>
    <phoneticPr fontId="3" type="noConversion"/>
  </si>
  <si>
    <t>智能（深圳易兔）</t>
    <phoneticPr fontId="3" type="noConversion"/>
  </si>
  <si>
    <t>电器（佛山优豆）</t>
    <phoneticPr fontId="3" type="noConversion"/>
  </si>
  <si>
    <t>全屋（深圳易兔）</t>
    <phoneticPr fontId="3" type="noConversion"/>
  </si>
  <si>
    <t>208047418930</t>
  </si>
  <si>
    <t>云米即热饮水机1键即热水吧5档控温2L大容量台式免安装</t>
  </si>
  <si>
    <t>208082721305</t>
  </si>
  <si>
    <t>云米 400/600加仑智能净水器 RO反渗透纯水机无桶 MR432-D</t>
  </si>
  <si>
    <t>211434237148</t>
  </si>
  <si>
    <t>云米即热饮水机1键即热水吧4档控温2.5L大容量台式免安装</t>
  </si>
  <si>
    <t>214448170082</t>
  </si>
  <si>
    <t>云米即热水吧办公室台式免安装宿舍小型饮水机2.5L大容量烧热水壶</t>
  </si>
  <si>
    <t>216846191990</t>
  </si>
  <si>
    <t>海尔家用净饮一体机反渗透直饮机免安装加热台式饮水机7558-3</t>
  </si>
  <si>
    <t>282916331041</t>
  </si>
  <si>
    <t>云米净水器800G无桶RO反渗透直饮净水机家用厨下式过滤器饮水机</t>
  </si>
  <si>
    <t>307019930005</t>
  </si>
  <si>
    <t>310802306965</t>
  </si>
  <si>
    <t>（多）云米净饮一体机X2mini Mango台式净水器直饮加热一体</t>
  </si>
  <si>
    <t>361678306590</t>
  </si>
  <si>
    <t>云米净水器S2小黑盒RO反渗透家用直饮过滤器饮水机600G大通量无罐</t>
  </si>
  <si>
    <t>375500288510</t>
  </si>
  <si>
    <t>云米水盒子 云米400G及以上厨下式净水器、管线机可用</t>
  </si>
  <si>
    <t>411907325204</t>
  </si>
  <si>
    <t>云米台式净饮一体机家用智能即热式净水器饮水机家用直饮RO过滤器</t>
  </si>
  <si>
    <t>416998795812</t>
  </si>
  <si>
    <t>云米净饮一体机X2mini Mango台式净水器即热型饮水机</t>
  </si>
  <si>
    <t>427349642190</t>
  </si>
  <si>
    <t>452924828720</t>
  </si>
  <si>
    <t>云米净饮一体机台式净水器即热型饮水机家用免安装X2minimango</t>
  </si>
  <si>
    <t>473626056570</t>
  </si>
  <si>
    <t>488076337803</t>
  </si>
  <si>
    <t>云米Easy3 400G/600G/800G净水器5in1复合RO反渗透SuperPro800G</t>
  </si>
  <si>
    <t>488308263723</t>
  </si>
  <si>
    <t>云米澎湃1000G净水器5in1复合滤芯RO反渗透滤芯MR1702A专用</t>
  </si>
  <si>
    <t>500299058012</t>
  </si>
  <si>
    <t>云米新款VF4前置过滤器家用泉先全自动清洗全屋滤水6T免拆洗虹吸</t>
  </si>
  <si>
    <t>515128993289</t>
  </si>
  <si>
    <t>云米净水器800G母婴级直饮APP智能厨房厨下RO反渗透小型过滤净化</t>
  </si>
  <si>
    <t>517447238153</t>
  </si>
  <si>
    <t>518256957360</t>
  </si>
  <si>
    <t>534931901352</t>
  </si>
  <si>
    <t>云米净水器家用直饮ro反渗透SuperY 1200G管线机前置过滤器套装</t>
  </si>
  <si>
    <t>546937555700</t>
  </si>
  <si>
    <t>云米净水器管线机套装即加热5年RO厨下式厨房过滤低噪小白龙800G</t>
  </si>
  <si>
    <t>557208319571</t>
  </si>
  <si>
    <t>云米净水器2000G双出水家用厨下式直饮纯水除菌过滤Space 2000G</t>
  </si>
  <si>
    <t>561824334211</t>
  </si>
  <si>
    <t>云米冷热管线机壁挂式饮水台式多档调节杀菌双出水零陈水Master 3</t>
  </si>
  <si>
    <t>575401833120</t>
  </si>
  <si>
    <t>云米小海豚自动前置过滤器家用全屋中央自来水反冲洗40微米大通量</t>
  </si>
  <si>
    <t>576428340757</t>
  </si>
  <si>
    <t>云米净水器1200G双出水0陈水1200G反渗透RO厨下式家用Super2Max</t>
  </si>
  <si>
    <t>579997893702</t>
  </si>
  <si>
    <t>[政府补贴20%]云米澎湃1000G净水器双出水反渗透RO厨下式家用直饮</t>
  </si>
  <si>
    <t>580160593054</t>
  </si>
  <si>
    <t>580247256179</t>
  </si>
  <si>
    <t>云米小白龙600G净水器纯水RO反渗透母婴级直饮APP厨房下过滤800G</t>
  </si>
  <si>
    <t>586921930445</t>
  </si>
  <si>
    <t>586978127376</t>
  </si>
  <si>
    <t>云米小海豚1000G双出水净水器厨下式RO反渗透家用直饮纯水净水机</t>
  </si>
  <si>
    <t>590121924196</t>
  </si>
  <si>
    <t>云米小蓝调系列原装RO反渗透滤芯复合滤芯适配400g厨下式滤芯600G</t>
  </si>
  <si>
    <t>591454375042</t>
  </si>
  <si>
    <t>592506603436</t>
  </si>
  <si>
    <t>云米管线机壁挂式饮水机即热式智控APP紫外线UV杀菌童锁触控2S</t>
  </si>
  <si>
    <t>593183482442</t>
  </si>
  <si>
    <t>云米800G净水器管线机两件套装APP智控厨下式纯水机壁挂式饮水RO</t>
  </si>
  <si>
    <t>593192727838</t>
  </si>
  <si>
    <t>云米澎湃1000双出水净水器管线机两件套装壁挂式家用过滤RO反渗透</t>
  </si>
  <si>
    <t>625981859936</t>
  </si>
  <si>
    <t>云米鲜活泉小白龙800G+净水器厨下式RO反渗透APP偏硅酸纯水直饮</t>
  </si>
  <si>
    <t>633248334419</t>
  </si>
  <si>
    <t>635155374997</t>
  </si>
  <si>
    <t>云米鲜活泉1200G双出水纯天然净水器直饮0零陈水母婴一级Super 2Y</t>
  </si>
  <si>
    <t>639764533100</t>
  </si>
  <si>
    <t>641740716196</t>
  </si>
  <si>
    <t>【母婴直饮】云米净水器家用直饮鲜活泉1000G厨下式R0反渗透直饮</t>
  </si>
  <si>
    <t>644150988969</t>
  </si>
  <si>
    <t>云米即热管线机制热制冷壁挂式家用厨房饮水机24小时UV智能杀菌</t>
  </si>
  <si>
    <t>649156284814</t>
  </si>
  <si>
    <t>云米净水器昆仑3家用净矿1000G厨下式6年RO反渗透矿物质双出水</t>
  </si>
  <si>
    <t>665884863038</t>
  </si>
  <si>
    <t>云米鲜活泉1200G双出水RO反渗透直饮APP母婴净水器管线机两件套装</t>
  </si>
  <si>
    <t>684109870392</t>
  </si>
  <si>
    <t>云米昆仑矿泉净水器家用直饮1200G大通量RO反渗透净饮机母婴直饮</t>
  </si>
  <si>
    <t>686769722372</t>
  </si>
  <si>
    <t>云米鲜活泉小白龙800G+厨下式净水器6年RO反渗透过滤家用直饮纯水</t>
  </si>
  <si>
    <t>691094352061</t>
  </si>
  <si>
    <t>云米净水器滤芯PP前置反渗透后置厨下式可连接云米app净水器滤芯</t>
  </si>
  <si>
    <t>702742126557</t>
  </si>
  <si>
    <t>云米小蓝调600G+净水器RO反渗透过滤厨下式母婴直饮家用鲜活水</t>
  </si>
  <si>
    <t>702753830320</t>
  </si>
  <si>
    <t>云米净水器厨上式400g厨下式滤芯600GPP棉前置后置活性炭RO反渗透</t>
  </si>
  <si>
    <t>702796784136</t>
  </si>
  <si>
    <t>云米昆仑即热净水器1000G-超高流量厨房直饮纯水机直饮超滤RO反渗</t>
  </si>
  <si>
    <t>703282113561</t>
  </si>
  <si>
    <t>云米鲜活泉1200G双出水纯天然净水器家用直饮纯水母婴Super 2Y</t>
  </si>
  <si>
    <t>708510913081</t>
  </si>
  <si>
    <t>708515523125</t>
  </si>
  <si>
    <t>708524761554</t>
  </si>
  <si>
    <t>云米小海豚1000G双出水净水器厨下式RO反渗透家用直饮纯水母婴</t>
  </si>
  <si>
    <t>717853489557</t>
  </si>
  <si>
    <t>云米小蓝调600G+净水器即热式管线机两件套装壁挂家用RO反渗透</t>
  </si>
  <si>
    <t>717864690431</t>
  </si>
  <si>
    <t>云米小蓝调600G+净水器冷热管线机两件套装家用直饮APP反渗透过滤</t>
  </si>
  <si>
    <t>717866001247</t>
  </si>
  <si>
    <t>云米蓝调600G+净水器即热管线机前置过滤器两三件套装家用直饮</t>
  </si>
  <si>
    <t>730437866472</t>
  </si>
  <si>
    <t>云米小蓝调600G+净水器壁挂式管线机两件套家用直饮RO反渗透过滤</t>
  </si>
  <si>
    <t>734903543898</t>
  </si>
  <si>
    <t>734924932227</t>
  </si>
  <si>
    <t>748920157650</t>
  </si>
  <si>
    <t>云米净水器母婴级直饮鲜活泉1200G家用厨下式ro反渗透0陈水净水机</t>
  </si>
  <si>
    <t>780607147597</t>
  </si>
  <si>
    <t>云米矿泉净水器家用直饮加热一体机净热厨下式净水机昆仑4 3L开水</t>
  </si>
  <si>
    <t>780676442407</t>
  </si>
  <si>
    <t>云米净水器家用昆仑4Pro弱碱矿泉1400G净矿8年RO反渗透直饮机厨下</t>
  </si>
  <si>
    <t>780679725746</t>
  </si>
  <si>
    <t>云米净水器家用昆仑4弱碱矿泉1200G净矿8年RO反渗透矿物质直饮</t>
  </si>
  <si>
    <t>784670865822</t>
  </si>
  <si>
    <t>云米净水器小海豚600G大通量6年RO过滤反渗透直饮厨下式家用厨房</t>
  </si>
  <si>
    <t>784673562540</t>
  </si>
  <si>
    <t>云米净水器家用厨房母婴直饮厨下复合一体滤芯1000G大通量小海豚2</t>
  </si>
  <si>
    <t>793928858581</t>
  </si>
  <si>
    <t>云米净水器家用厨下式小海豚600G+直饮RO反渗透前置过滤器两件套</t>
  </si>
  <si>
    <t>796348856458</t>
  </si>
  <si>
    <t>云米壁挂式制冷管线机家用厨房两用饮水机制制热24小时智能UV杀菌</t>
  </si>
  <si>
    <t>802132165688</t>
  </si>
  <si>
    <t>云米净水器厨下式家用直饮六年RO反渗透过滤纯水机小白龙600G通量</t>
  </si>
  <si>
    <t>802137903543</t>
  </si>
  <si>
    <t>云米净水器家用厨下式0陈水复合一体滤芯母婴小白龙1000G+纯水机</t>
  </si>
  <si>
    <t>803036857654</t>
  </si>
  <si>
    <t>焕新云米净水器家用直饮厨下小海豚2 1000G大通量即热管线机套装</t>
  </si>
  <si>
    <t>820724017220</t>
  </si>
  <si>
    <t>云米净水器小海豚600G家用厨下式Ro反渗透大屏管线机前置过滤器</t>
  </si>
  <si>
    <t>820728560139</t>
  </si>
  <si>
    <t>焕新云米净水器小白龙600G即热管线机过滤器三件套厨下式直饮家用</t>
  </si>
  <si>
    <t>820731010057</t>
  </si>
  <si>
    <t>焕新云米净水器厨下Ro反渗透直饮家用小白龙600G管线机过滤器套装</t>
  </si>
  <si>
    <t>820731294473</t>
  </si>
  <si>
    <t>云米净水器厨下Ro反渗透直饮家用小白龙600G冷热管线机过滤器套装</t>
  </si>
  <si>
    <t>826920121377</t>
  </si>
  <si>
    <t>云米矿泉台式净饮机即热式饮水机直饮家用矿化加热一体机净水器</t>
  </si>
  <si>
    <t>828961973647</t>
  </si>
  <si>
    <t>831247282750</t>
  </si>
  <si>
    <t>832355139965</t>
  </si>
  <si>
    <t>云米小蓝调600G+净水器RO反渗透过滤厨下式母婴直饮家用厨房纯水</t>
    <phoneticPr fontId="7" type="noConversion"/>
  </si>
  <si>
    <t>云米净水器5in1复合滤芯新升级泉鲜RO反渗透Fast3 -S2-1A-X2</t>
    <phoneticPr fontId="7" type="noConversion"/>
  </si>
  <si>
    <t>[政府补贴20%]云米净水器900G双出水家用直饮RO反渗透过滤1000G</t>
    <phoneticPr fontId="7" type="noConversion"/>
  </si>
  <si>
    <t>云米1200G双出水净水器全自动前置过滤器冷热管线机三件套装6年RO</t>
    <phoneticPr fontId="7" type="noConversion"/>
  </si>
  <si>
    <t>（有）云米净饮一体机台式净水器即热型饮水机净水器水过滤机</t>
    <phoneticPr fontId="7" type="noConversion"/>
  </si>
  <si>
    <t>饮水机</t>
  </si>
  <si>
    <t>管线机</t>
    <phoneticPr fontId="7" type="noConversion"/>
  </si>
  <si>
    <t>云米净水器家用直饮厨下式RO反渗透超滤净水机 过滤器 800G无桶</t>
    <phoneticPr fontId="7" type="noConversion"/>
  </si>
  <si>
    <r>
      <t>1</t>
    </r>
    <r>
      <rPr>
        <sz val="11"/>
        <color theme="1"/>
        <rFont val="宋体"/>
        <family val="3"/>
        <charset val="134"/>
        <scheme val="minor"/>
      </rPr>
      <t>400G</t>
    </r>
    <phoneticPr fontId="7" type="noConversion"/>
  </si>
  <si>
    <t>云米昆仑4冷热矿泉一体净饮机家用即热台式RO反渗透全自动制冰机</t>
    <phoneticPr fontId="7" type="noConversion"/>
  </si>
  <si>
    <t>云米小海豚前置过滤器自动旋洗 家用全屋中央自来水40微米精滤</t>
    <phoneticPr fontId="7" type="noConversion"/>
  </si>
  <si>
    <t>[政府补贴15%]云米X2台式净饮一体即热桌面免安装大容量RO反渗透</t>
    <phoneticPr fontId="7" type="noConversion"/>
  </si>
  <si>
    <r>
      <t>2</t>
    </r>
    <r>
      <rPr>
        <sz val="11"/>
        <color theme="1"/>
        <rFont val="宋体"/>
        <family val="3"/>
        <charset val="134"/>
        <scheme val="minor"/>
      </rPr>
      <t>000g</t>
    </r>
    <phoneticPr fontId="7" type="noConversion"/>
  </si>
  <si>
    <t>604410073495</t>
    <phoneticPr fontId="3" type="noConversion"/>
  </si>
  <si>
    <t>云米生活电器旗舰店</t>
  </si>
  <si>
    <t>生活（河北美承）</t>
    <phoneticPr fontId="3" type="noConversion"/>
  </si>
  <si>
    <t>云米蓝泽1000G净水器厨下直饮小体积厨下式净水机RO机新款0陈水</t>
  </si>
  <si>
    <t>808092017357</t>
  </si>
  <si>
    <t>云米蓝泽600G厨下式0阻垢净水器家用直饮6年长效RO反渗透6层精滤</t>
  </si>
  <si>
    <t>802222241989</t>
  </si>
  <si>
    <t>云米鲜活蓝泽800G净水器0阻垢RO反渗透厨下式直饮家用剂过滤七级</t>
  </si>
  <si>
    <t>804432314012</t>
  </si>
  <si>
    <t>【净水全家福】云米净水器小海豚21000G即热管线机海豚前置过滤器</t>
  </si>
  <si>
    <t>803021377952</t>
  </si>
  <si>
    <t>【云米净水器套装】小海豚2厨下直饮小体积1000G净水器RO机管线机</t>
  </si>
  <si>
    <t>803019954779</t>
  </si>
  <si>
    <t>520548617499</t>
  </si>
  <si>
    <t>云米净水器滤芯五合一滤芯2号反渗透400/600G   S2 Fast3系列通用</t>
  </si>
  <si>
    <t>521375014448</t>
  </si>
  <si>
    <t>云米净水器滤芯S1 800G 5in1复合UF超滤已接入米家 app净水器滤芯</t>
  </si>
  <si>
    <t>521674442374</t>
  </si>
  <si>
    <t>云米净水器滤芯原装X2滤芯即热通用五合一滤芯2号100G反渗透全套</t>
  </si>
  <si>
    <t>521743290223</t>
  </si>
  <si>
    <t>云米净水器滤芯PP棉前置后置RO反渗透 已接入米家app 净水器滤芯</t>
  </si>
  <si>
    <t>521743842244</t>
  </si>
  <si>
    <t>净水器滤芯S1800G 5in1复合RO UF超滤 已接入米家app 净水器滤芯</t>
  </si>
  <si>
    <t>522619140206</t>
  </si>
  <si>
    <t>云米净水器滤芯5in1复合2号400G反渗透RO通用滤芯适配S2/F3/Mee</t>
  </si>
  <si>
    <t>523161204269</t>
  </si>
  <si>
    <t>已接入米家app 400g厨下式滤芯3号RO反渗透600Gpp棉净水器滤芯</t>
  </si>
  <si>
    <t>523180765523</t>
  </si>
  <si>
    <t>云米净水器滤芯S2/Fast-3/1A增强400G/500G厨下复合滤芯ro反渗透</t>
  </si>
  <si>
    <t>523184898649</t>
  </si>
  <si>
    <t>523185642893</t>
  </si>
  <si>
    <t>Super1200G</t>
  </si>
  <si>
    <t>云米净水器滤芯400G家用滤芯PP棉1234号已接入米家app 净水器滤芯</t>
  </si>
  <si>
    <t>525547980970</t>
  </si>
  <si>
    <t>云米净水器滤芯小蓝调小海豚400/600原装家用复合滤芯RO反渗透</t>
  </si>
  <si>
    <t>525548786875</t>
  </si>
  <si>
    <t>1a500系列适400500增强5in1复合反渗透 已接入米家APP 净水器滤芯</t>
  </si>
  <si>
    <t>536101205738</t>
  </si>
  <si>
    <t>云米净水器滤芯小蓝调小海豚600g滤芯小白龙通用5in1复合RO反渗透</t>
  </si>
  <si>
    <t>536104077987</t>
  </si>
  <si>
    <t>【下单立减】云米净水器海豚小蓝调白龙原装5in1复合RO反渗透滤芯</t>
  </si>
  <si>
    <t>539322785409</t>
  </si>
  <si>
    <t>已接入米家app 净水器滤芯 600G1号pp棉2号前置3号RO反渗透后置</t>
  </si>
  <si>
    <t>539338428609</t>
  </si>
  <si>
    <t>云米洗衣机全自动滚筒10KG家用除菌大容量超薄机身智能洗烘一体</t>
  </si>
  <si>
    <t>553517776354</t>
  </si>
  <si>
    <t>云米净水器1200G直饮净水器厨房RO反渗透净水机家用大通量双RO</t>
  </si>
  <si>
    <t>574235957377</t>
  </si>
  <si>
    <t>适配小米净水器滤芯400Gpp棉活性炭RO反渗透1号2号3号4号600G全套</t>
  </si>
  <si>
    <t>590802023644</t>
  </si>
  <si>
    <t>云米净水器滤芯PP棉前置后置124套装 已接入米家app 净水器滤芯</t>
  </si>
  <si>
    <t>595734374233</t>
  </si>
  <si>
    <t>云米净水器滤芯800G净水器5in1 UF超滤已接入米家app 净水器滤芯</t>
  </si>
  <si>
    <t>596652229566</t>
  </si>
  <si>
    <t>云米净水器滤芯小蓝调小海豚1号5in1复合2号400G/600G反渗透滤芯</t>
  </si>
  <si>
    <t>596653414437</t>
  </si>
  <si>
    <t>适配小米净水器滤芯1a400G/500G增强厨下五合一复合RO反渗透套装</t>
  </si>
  <si>
    <t>606707988049</t>
  </si>
  <si>
    <t>云米净水器滤芯1a 400G增强版5in1复合滤芯RO反渗透滤芯600G原装</t>
  </si>
  <si>
    <t>615408585968</t>
  </si>
  <si>
    <t>云米净水器滤芯600G原装家用RO反渗透PP棉前置后置通用型400G全套</t>
  </si>
  <si>
    <t>615672227116</t>
  </si>
  <si>
    <t>已接入米家app 净水器滤芯家用600G专用RO反渗透后置活性炭PP棉</t>
  </si>
  <si>
    <t>615674444075</t>
  </si>
  <si>
    <t>云米净水器滤芯Super1000G/1200G家用复合滤芯RO反渗透800GVision</t>
  </si>
  <si>
    <t>615674654851</t>
  </si>
  <si>
    <t>适配小米净水器600G滤芯家用RO反渗透厨下式C1/C2/V1/V2/X5系列</t>
  </si>
  <si>
    <t>620699810116</t>
  </si>
  <si>
    <t>已接入米家app 600g净水器滤芯米系厨下式pp前置RO反渗透通用滤芯</t>
  </si>
  <si>
    <t>622992973344</t>
  </si>
  <si>
    <t>云米净水器滤芯s1800G净水器UF超滤通用五合一800g反渗透套装全套</t>
  </si>
  <si>
    <t>624240617884</t>
  </si>
  <si>
    <t>云米净水器滤芯1a400g通用5in1复合400g500g增强版RO反渗透套装</t>
  </si>
  <si>
    <t>635824879175</t>
  </si>
  <si>
    <t>云米净水器滤芯S1800净水器5in UF超滤 已接入米家app 净水器滤芯</t>
  </si>
  <si>
    <t>635826535172</t>
  </si>
  <si>
    <t>云米净水器滤芯400g600gPP棉前置后置RO已接入米家app 净水器滤芯</t>
  </si>
  <si>
    <t>635827496674</t>
  </si>
  <si>
    <t>云米净水器滤芯家用S1800G原装RO反渗透5in1复合滤芯通UF超滤套装</t>
  </si>
  <si>
    <t>636339629592</t>
  </si>
  <si>
    <t>644460564363</t>
  </si>
  <si>
    <t>净水器滤芯1号PP棉2号前置后置已接入米家app 400G600G净水器滤芯</t>
  </si>
  <si>
    <t>648293432770</t>
  </si>
  <si>
    <t>云米小蓝调净水器滤芯600G专用款5in1复合滤芯RO反渗透套装过滤芯</t>
  </si>
  <si>
    <t>651894215319</t>
  </si>
  <si>
    <t>云米净水器滤芯小蓝调小海豚600g滤芯5in1复合滤芯400G反渗透RO膜</t>
  </si>
  <si>
    <t>652889814780</t>
  </si>
  <si>
    <t>云米净水器Quick5 600G/800G/1000G滤芯RO反渗透5in1复合UF超滤芯</t>
  </si>
  <si>
    <t>652897358208</t>
  </si>
  <si>
    <t>云米净水器滤芯PP前置后置124 600G400g已接入米家app 净水器滤芯</t>
  </si>
  <si>
    <t>655095034209</t>
  </si>
  <si>
    <t>适配小米净水器滤芯反渗透1号PP棉2号前置4号后置124套装400G600G</t>
  </si>
  <si>
    <t>655243629788</t>
  </si>
  <si>
    <t>净水器800g滤芯5in1RO反渗透滤芯UF超滤 可连接米家app净水器滤芯</t>
  </si>
  <si>
    <t>657073896818</t>
  </si>
  <si>
    <t>厨下式净水器前置pp后置ro C1 V1 V2 X5已接入米家app 净水器滤芯</t>
  </si>
  <si>
    <t>659194528708</t>
  </si>
  <si>
    <t>云米净水器5in1通用400g500增强版RO已接入米家app 净水器滤芯</t>
  </si>
  <si>
    <t>659203388939</t>
  </si>
  <si>
    <t>云米净水器C1 V1 V2 X5 1234号套装ro已接入米家app 净水器滤芯</t>
  </si>
  <si>
    <t>672154118131</t>
  </si>
  <si>
    <t>云米小蓝调净水器滤芯通用系列400G反渗透膜5in1复合600gRO全套装</t>
  </si>
  <si>
    <t>675435932765</t>
  </si>
  <si>
    <t>云米净水器1a滤芯增强400G/500G/S2/Fast-3/厨下复合滤芯ro反渗透</t>
  </si>
  <si>
    <t>675777443055</t>
  </si>
  <si>
    <t>云米蓝调小海豚400600净水器滤芯5in1复合反渗透RO400g厨下式滤芯</t>
  </si>
  <si>
    <t>679115839706</t>
  </si>
  <si>
    <t>云米小蓝调小海豚小白龙400G600G专用款5in1复合滤芯RO反渗透套装</t>
  </si>
  <si>
    <t>679121032988</t>
  </si>
  <si>
    <t>适配1A/400G增强500 s2通用复合RO反渗透已接入米家app净水器滤芯</t>
  </si>
  <si>
    <t>679122454980</t>
  </si>
  <si>
    <t>云米净水器滤芯400G 600G1234号pp棉已接入米家app后置通用滤芯</t>
  </si>
  <si>
    <t>679123109440</t>
  </si>
  <si>
    <t>685253476162</t>
  </si>
  <si>
    <t>【政策补贴】已接入米家APP 净水器滤芯400600前后置RO反渗透1234</t>
  </si>
  <si>
    <t>691153403354</t>
  </si>
  <si>
    <t>云米小蓝调小海豚小白龙系列 400G/600G净水器滤芯1号5in1 2号RO</t>
  </si>
  <si>
    <t>695614309956</t>
  </si>
  <si>
    <t>云米净水器S2 Fast3滤芯400G/600G/800G/1000G 1号5in1 2号反渗透</t>
  </si>
  <si>
    <t>697772633703</t>
  </si>
  <si>
    <t>已接入米家APP 净水器滤芯600G专用RO反渗透后置活性炭PP棉全套</t>
  </si>
  <si>
    <t>698038187454</t>
  </si>
  <si>
    <t>已接入米家APP 净水器滤芯600G1234通用 400厨下式滤芯pp棉前置</t>
  </si>
  <si>
    <t>699102700354</t>
  </si>
  <si>
    <t>701918188743</t>
  </si>
  <si>
    <t>云米滤芯适用厨下式净水器400G/600G过滤芯PP棉前置活性炭1234号</t>
  </si>
  <si>
    <t>703248967692</t>
  </si>
  <si>
    <t>400G家用pp前置RO反渗透1234号600已接入米家APP 厨下净水器滤芯</t>
  </si>
  <si>
    <t>706208164963</t>
  </si>
  <si>
    <t>706820839093</t>
  </si>
  <si>
    <t>710945887045</t>
  </si>
  <si>
    <t>云米滤芯适用小米净水器1A 400G/500G增强版厨复合滤芯RO反渗透</t>
  </si>
  <si>
    <t>711990971802</t>
  </si>
  <si>
    <t>云米小白龙800G+升级款净水器厨下式纯水机6年长效RO滤芯用净水器</t>
  </si>
  <si>
    <t>713131551971</t>
  </si>
  <si>
    <t>713673135065</t>
  </si>
  <si>
    <t>云米蓝泽800G升级净水器纯水机6年长效RO升级大通量家用净水器</t>
  </si>
  <si>
    <t>714003580392</t>
  </si>
  <si>
    <t>715957450104</t>
  </si>
  <si>
    <t>【母婴直饮】云米净水器家用新款蓝调2 800G厨下式R0反渗透直饮</t>
  </si>
  <si>
    <t>715986978768</t>
  </si>
  <si>
    <t>717848271603</t>
  </si>
  <si>
    <t>云米1A厨下净水器400500g增强滤芯Fast3 S2 5in1复合ro反渗透</t>
  </si>
  <si>
    <t>721997552662</t>
  </si>
  <si>
    <t>云米升级1A厨下净水器400500g增强滤芯Fast3 S2 5in1复合ro反渗透</t>
  </si>
  <si>
    <t>722011415658</t>
  </si>
  <si>
    <t>云米小白龙800G+净水器6年RO反渗透厨下式家用过滤最新款竹炭升级</t>
  </si>
  <si>
    <t>722639385143</t>
  </si>
  <si>
    <t>723125833927</t>
  </si>
  <si>
    <t>已接入米家APP 净水器滤芯厨上400g厨下式滤芯反渗透RO前置pp600</t>
  </si>
  <si>
    <t>731621984718</t>
  </si>
  <si>
    <t>733769199320</t>
  </si>
  <si>
    <t>已接入米家APP 净水器滤芯PP前置后置RO反渗透400g厨下式600滤芯</t>
  </si>
  <si>
    <t>735799266641</t>
  </si>
  <si>
    <t>736780887569</t>
  </si>
  <si>
    <t>8T前置过滤器</t>
  </si>
  <si>
    <t>已接入米家APP 净水器滤芯400G600Gpp棉活性炭RO反渗透1234号通用</t>
  </si>
  <si>
    <t>740987617054</t>
  </si>
  <si>
    <t>743041289504</t>
  </si>
  <si>
    <t>743371105575</t>
  </si>
  <si>
    <t>s1800g滤芯5in1复合RO反渗透UF超滤原装已接入米家APP 净水器滤芯</t>
  </si>
  <si>
    <t>745419996797</t>
  </si>
  <si>
    <t>745891421928</t>
  </si>
  <si>
    <t>云米小白龙600G/800G/800G+净水器滤芯1号5in1竹炭2号反渗透RO</t>
  </si>
  <si>
    <t>745936031534</t>
  </si>
  <si>
    <t>748447709337</t>
  </si>
  <si>
    <t>752161549542</t>
  </si>
  <si>
    <t>755638475423</t>
  </si>
  <si>
    <t>适用净水器1A 400G/500G增强版厨下式复合滤ro反渗透滤芯原厂升级</t>
  </si>
  <si>
    <t>757510383133</t>
  </si>
  <si>
    <t>758329349618</t>
  </si>
  <si>
    <t>已接入米家APP 净水器滤芯原厂升级厨下400g滤芯1号PP棉 ro反渗透</t>
  </si>
  <si>
    <t>765638750400</t>
  </si>
  <si>
    <t>云米净水器滤芯C1/C2/V1/V2/X5系列400G/500G/600G滤芯1234号</t>
  </si>
  <si>
    <t>769082719487</t>
  </si>
  <si>
    <t>已接入米家app 净水器滤芯系列400g厨下式滤芯/600G反渗透1234号</t>
  </si>
  <si>
    <t>769154613189</t>
  </si>
  <si>
    <t>全新已接入米家app 净水器滤芯600G前置后置pp棉RO1234号400G</t>
  </si>
  <si>
    <t>775702066697</t>
  </si>
  <si>
    <t>米系升级款原厂净水器1A/400G/500GMR432/532-D 5in1复合RO膜滤芯</t>
  </si>
  <si>
    <t>777577270699</t>
  </si>
  <si>
    <t>云米1键即热净水器X1滤芯 1号PAC复合2号100G反渗透3号后置活性炭</t>
  </si>
  <si>
    <t>777636732136</t>
  </si>
  <si>
    <t>已接入米家app 净水器滤芯600G前置后置pp棉RO1号2号3号4号400G</t>
  </si>
  <si>
    <t>778220134662</t>
  </si>
  <si>
    <t>云米净水器Quick5 600G/800G/1000G滤芯5in1复合RO反渗透UF超滤</t>
  </si>
  <si>
    <t>778863511434</t>
  </si>
  <si>
    <t>784302947521</t>
  </si>
  <si>
    <t>适配小米净水器1A/400G/500G/500增强 5in1复合RO膜升级原厂滤芯</t>
  </si>
  <si>
    <t>787509624360</t>
  </si>
  <si>
    <t>适配小米厨下式净水器滤芯600G前置后置pp棉RO反渗透1234号400G</t>
  </si>
  <si>
    <t>793936966693</t>
  </si>
  <si>
    <t>云米小白龙800G+升级净水器厨房台下RO反渗透家用过滤母婴直饮</t>
  </si>
  <si>
    <t>798482186210</t>
  </si>
  <si>
    <t>云米蓝泽600G厨下式小蓝调家用直饮6年长效RO反渗透6层精滤无双酚</t>
  </si>
  <si>
    <t>801323240060</t>
  </si>
  <si>
    <t>【新鲜0陈水】云米净水器蓝泽1000G厨下直饮小体积净水机RO机新款</t>
  </si>
  <si>
    <t>801366116219</t>
  </si>
  <si>
    <t>802222548304</t>
  </si>
  <si>
    <t>云米新鲜活蓝泽800G净水器RO反渗透厨下式直饮家用净水机过滤七级</t>
  </si>
  <si>
    <t>806261855435</t>
  </si>
  <si>
    <t>806261931193</t>
  </si>
  <si>
    <t>817996642687</t>
  </si>
  <si>
    <t>819577402326</t>
  </si>
  <si>
    <t>原厂升级适配米家净水器滤芯400G600Gpp棉前置RO反渗透1234号通用</t>
  </si>
  <si>
    <t>821374131709</t>
  </si>
  <si>
    <t>适配小米净水器滤芯PP前置后置RO反渗透小米厨下式400g600g套装</t>
  </si>
  <si>
    <t>821449390404</t>
  </si>
  <si>
    <t>云米净水器滤芯Mee Pro Plus 400G/500G/600G/800G 5in1复合 RO膜</t>
  </si>
  <si>
    <t>822160472017</t>
  </si>
  <si>
    <t>822705195940</t>
  </si>
  <si>
    <t>824084162850</t>
  </si>
  <si>
    <t>824126256085</t>
  </si>
  <si>
    <t>适配小米净水器滤芯小米厨下式400g600gPP前置后置RO反渗透套装</t>
  </si>
  <si>
    <t>824142403513</t>
  </si>
  <si>
    <t>适配小米净水器滤芯云米pp棉滤芯前置后置RO反渗透套装</t>
  </si>
  <si>
    <t>824212106072</t>
  </si>
  <si>
    <t>824749058968</t>
  </si>
  <si>
    <t>云米适配小米净水器1A/400G/500G/500增强 5in1复合RO膜滤芯</t>
  </si>
  <si>
    <t>824798006725</t>
  </si>
  <si>
    <t>824817498998</t>
  </si>
  <si>
    <t>824829495222</t>
  </si>
  <si>
    <t>824843981044</t>
  </si>
  <si>
    <t>824848154465</t>
  </si>
  <si>
    <t>824863809834</t>
  </si>
  <si>
    <t>824869622982</t>
  </si>
  <si>
    <t>824874651692</t>
  </si>
  <si>
    <t>适配600G厨下式净水器家用厨上400G活性炭滤芯1234号RO反渗透全套</t>
  </si>
  <si>
    <t>云米Super1200G净水器数显水龙头RO反渗透家用管线机直饮套装</t>
  </si>
  <si>
    <t>云米家用反渗透净水器1200G直饮净水过滤器即热管线机饮水机套装</t>
  </si>
  <si>
    <t>【母婴直饮】云米净水器蓝调800G家用直饮新款厨下式R0反渗透直饮</t>
  </si>
  <si>
    <t>云米小海豚8T前置过滤器自动清洗家用全屋中央自来水40微米流量</t>
  </si>
  <si>
    <t>两件套1000G+管线机</t>
  </si>
  <si>
    <t>鲲鹏3L开水</t>
  </si>
  <si>
    <t>小白龙1000G+白色管线机套装</t>
  </si>
  <si>
    <t>6923185600121</t>
  </si>
  <si>
    <t>6923185600138</t>
  </si>
  <si>
    <t>6923185600404,6923185619796,6923185621058,6923185681113</t>
  </si>
  <si>
    <t>6923185600404,6923185619796,6923185681113</t>
  </si>
  <si>
    <t>6923185600664</t>
  </si>
  <si>
    <t>6923185604921</t>
  </si>
  <si>
    <t>6923185606390</t>
  </si>
  <si>
    <t>6923185609070</t>
  </si>
  <si>
    <t>6923185614258,6923185620969</t>
  </si>
  <si>
    <t>6923185614258,6923185681137</t>
  </si>
  <si>
    <t>6923185616207</t>
  </si>
  <si>
    <t>6923185618355</t>
  </si>
  <si>
    <t>6923185618355,6923185681113</t>
  </si>
  <si>
    <t>6923185619796,6923185650058</t>
  </si>
  <si>
    <t>6923185624059</t>
  </si>
  <si>
    <t>6923185649885,6923185651345,6923185653684</t>
  </si>
  <si>
    <t>6923185650966,6923185652526,6923185653684</t>
  </si>
  <si>
    <t>6923185650966,6923185653684</t>
  </si>
  <si>
    <t>6923185651772,6923185653684</t>
  </si>
  <si>
    <t>活动id</t>
    <phoneticPr fontId="3" type="noConversion"/>
  </si>
  <si>
    <t>826920121377</t>
    <phoneticPr fontId="3" type="noConversion"/>
  </si>
  <si>
    <t>快速审核报名：</t>
    <phoneticPr fontId="3" type="noConversion"/>
  </si>
  <si>
    <t>https://mms.pinduoduo.com/act/detail?id=22773</t>
  </si>
  <si>
    <t>非超星星报名：</t>
  </si>
  <si>
    <t>百亿补贴报名入口-政府补贴专用</t>
  </si>
  <si>
    <t>百亿官补：</t>
    <phoneticPr fontId="3" type="noConversion"/>
  </si>
  <si>
    <t>https://mms.pinduoduo.com/act/detail?id=18056</t>
  </si>
  <si>
    <t>https://mms.pinduoduo.com/act/detail?id=19161</t>
  </si>
  <si>
    <t>百亿在线：</t>
  </si>
  <si>
    <t>https://mms.pinduoduo.com/act/detail?id=17480</t>
  </si>
  <si>
    <t>非百亿在线：</t>
    <phoneticPr fontId="3" type="noConversion"/>
  </si>
  <si>
    <t>日销＞1w元</t>
  </si>
  <si>
    <t>https://mms.pinduoduo.com/act/detail?id=584</t>
    <phoneticPr fontId="3" type="noConversion"/>
  </si>
  <si>
    <t>通天塔、单坑</t>
  </si>
  <si>
    <t>日销&lt;1000元的报名</t>
  </si>
  <si>
    <t>秒杀活动-百万爆款：</t>
    <phoneticPr fontId="3" type="noConversion"/>
  </si>
  <si>
    <t>秒杀活动-免审通道：</t>
    <phoneticPr fontId="3" type="noConversion"/>
  </si>
  <si>
    <t>https://mms.pinduoduo.com/act/hot-goods</t>
  </si>
  <si>
    <t>https://mms.pinduoduo.com/act/detail?id=22660</t>
    <phoneticPr fontId="3" type="noConversion"/>
  </si>
  <si>
    <t>活动类型</t>
  </si>
  <si>
    <t>8折百亿非官补品入口</t>
  </si>
  <si>
    <t>9折百亿非官补品入口</t>
  </si>
  <si>
    <t>https://mms.pinduoduo.com/act/detail?id=23550</t>
    <phoneticPr fontId="3" type="noConversion"/>
  </si>
  <si>
    <t>95折百亿有官补品入口</t>
    <phoneticPr fontId="3" type="noConversion"/>
  </si>
  <si>
    <t>竞价官补不可报名</t>
    <phoneticPr fontId="3" type="noConversion"/>
  </si>
  <si>
    <t>日销需＞1500元</t>
  </si>
  <si>
    <t>https://mms.pinduoduo.com/act/detail?id=4534</t>
    <phoneticPr fontId="3" type="noConversion"/>
  </si>
  <si>
    <t>该入口每天坑位有限，报名后找小二催审</t>
  </si>
  <si>
    <t>补贴万人团</t>
    <phoneticPr fontId="3" type="noConversion"/>
  </si>
  <si>
    <t>大促搜索池</t>
    <phoneticPr fontId="3" type="noConversion"/>
  </si>
  <si>
    <t>活动名称</t>
  </si>
  <si>
    <t>小二说明</t>
    <phoneticPr fontId="3" type="noConversion"/>
  </si>
  <si>
    <t>门槛要求</t>
    <phoneticPr fontId="3" type="noConversion"/>
  </si>
  <si>
    <t>万人团秒杀</t>
  </si>
  <si>
    <t>【万人团】秒杀普通商品</t>
  </si>
  <si>
    <t>百亿加倍补-平台重点补贴商单件折扣报名</t>
  </si>
  <si>
    <t>【免审】限时秒杀外场通道</t>
  </si>
  <si>
    <t>限时秒杀</t>
  </si>
  <si>
    <t>百万爆款</t>
  </si>
  <si>
    <t>爆款计划</t>
  </si>
  <si>
    <t>【精选首页】限时秒杀</t>
  </si>
  <si>
    <t>【千万爆款团】限时秒杀</t>
  </si>
  <si>
    <t>【千万爆款团】补贴秒杀品牌自补</t>
  </si>
  <si>
    <t>补贴秒杀</t>
  </si>
  <si>
    <t>品牌清仓</t>
  </si>
  <si>
    <t>https://mms.pinduoduo.com/act/detail?id=10441</t>
  </si>
  <si>
    <t>https://mms.pinduoduo.com/act/detail?id=20981</t>
  </si>
  <si>
    <t>https://mms.pinduoduo.com/act/detail?id=21657</t>
  </si>
  <si>
    <t>https://mms.pinduoduo.com/act/detail?id=21663</t>
  </si>
  <si>
    <t>https://mms.pinduoduo.com/act/detail?id=21967</t>
  </si>
  <si>
    <t>https://mms.pinduoduo.com/act/detail?id=22148</t>
  </si>
  <si>
    <t>https://mms.pinduoduo.com/act/detail?id=22180</t>
  </si>
  <si>
    <t>https://mms.pinduoduo.com/act/detail?id=22181</t>
  </si>
  <si>
    <t>https://mms.pinduoduo.com/act/detail?id=22704</t>
  </si>
  <si>
    <t>https://mms.pinduoduo.com/act/detail?id=22827</t>
  </si>
  <si>
    <t>https://mms.pinduoduo.com/act/detail?id=23149</t>
  </si>
  <si>
    <t>https://mms.pinduoduo.com/act/detail?id=23581</t>
  </si>
  <si>
    <t>https://mms.pinduoduo.com/act/detail?id=23620</t>
  </si>
  <si>
    <t>日销＞1500元的报名,8折-9折</t>
    <phoneticPr fontId="3" type="noConversion"/>
  </si>
  <si>
    <t>云米净水器昆仑4Pro弱碱矿泉1400G净矿1200G 8年RO反渗透厨下式</t>
    <phoneticPr fontId="3" type="noConversion"/>
  </si>
  <si>
    <t>云米净水器家用2SPro1400G净矿8年RO反渗透矿物质0阻垢剂双出水</t>
    <phoneticPr fontId="3" type="noConversion"/>
  </si>
  <si>
    <t>2SPro1400G</t>
  </si>
  <si>
    <t>6923185653974</t>
    <phoneticPr fontId="3" type="noConversion"/>
  </si>
  <si>
    <t>蓝泽800G+（新）</t>
    <phoneticPr fontId="3" type="noConversion"/>
  </si>
  <si>
    <t>837957770723</t>
    <phoneticPr fontId="3" type="noConversion"/>
  </si>
  <si>
    <t>即热管线机2S</t>
  </si>
  <si>
    <t>冷热管线机2E</t>
  </si>
  <si>
    <t>小海豚2 1000G 套装</t>
    <phoneticPr fontId="3" type="noConversion"/>
  </si>
  <si>
    <t>小海豚600G+ 套装</t>
    <phoneticPr fontId="3" type="noConversion"/>
  </si>
  <si>
    <t>小海豚2 1000G （新A)</t>
    <phoneticPr fontId="3" type="noConversion"/>
  </si>
  <si>
    <t>6923185653998</t>
    <phoneticPr fontId="3" type="noConversion"/>
  </si>
  <si>
    <t>商品ID</t>
    <phoneticPr fontId="3" type="noConversion"/>
  </si>
  <si>
    <t>券前价(元)</t>
    <phoneticPr fontId="3" type="noConversion"/>
  </si>
  <si>
    <t>842195971715</t>
    <phoneticPr fontId="3" type="noConversion"/>
  </si>
  <si>
    <t>即热1000G</t>
    <phoneticPr fontId="3" type="noConversion"/>
  </si>
  <si>
    <t>即热管线机Master2S</t>
    <phoneticPr fontId="3" type="noConversion"/>
  </si>
  <si>
    <t>6923185652526</t>
    <phoneticPr fontId="3" type="noConversion"/>
  </si>
  <si>
    <t>冷热双出水管线机Super2E</t>
    <phoneticPr fontId="3" type="noConversion"/>
  </si>
  <si>
    <r>
      <rPr>
        <sz val="11"/>
        <color theme="1"/>
        <rFont val="宋体"/>
        <family val="3"/>
        <charset val="134"/>
        <scheme val="minor"/>
      </rPr>
      <t>6923185650966</t>
    </r>
    <phoneticPr fontId="3" type="noConversion"/>
  </si>
  <si>
    <t>6923185651116</t>
    <phoneticPr fontId="3" type="noConversion"/>
  </si>
  <si>
    <t>S2503111808001</t>
    <phoneticPr fontId="3" type="noConversion"/>
  </si>
  <si>
    <t>S2503111807001</t>
    <phoneticPr fontId="3" type="noConversion"/>
  </si>
  <si>
    <t>两件套1000G+管线机2E</t>
    <phoneticPr fontId="3" type="noConversion"/>
  </si>
  <si>
    <t>两件套1000G+管线机2S</t>
    <phoneticPr fontId="3" type="noConversion"/>
  </si>
  <si>
    <t>两件套600G+管线机2E</t>
    <phoneticPr fontId="3" type="noConversion"/>
  </si>
  <si>
    <t>两件套600G+管线机2S</t>
    <phoneticPr fontId="3" type="noConversion"/>
  </si>
  <si>
    <t>百亿补贴，1429</t>
    <phoneticPr fontId="3" type="noConversion"/>
  </si>
  <si>
    <t>云米电器官方旗舰店</t>
    <phoneticPr fontId="3" type="noConversion"/>
  </si>
  <si>
    <t>云米净水电器旗舰店</t>
    <phoneticPr fontId="3" type="noConversion"/>
  </si>
  <si>
    <t>云米净水滤芯官方旗舰店</t>
    <phoneticPr fontId="3" type="noConversion"/>
  </si>
  <si>
    <t>天津园迈</t>
    <phoneticPr fontId="3" type="noConversion"/>
  </si>
  <si>
    <t>天津匠心</t>
    <phoneticPr fontId="3" type="noConversion"/>
  </si>
  <si>
    <t>6923185653981</t>
    <phoneticPr fontId="3" type="noConversion"/>
  </si>
  <si>
    <t>6923185649885</t>
    <phoneticPr fontId="3" type="noConversion"/>
  </si>
  <si>
    <t>前置super</t>
    <phoneticPr fontId="3" type="noConversion"/>
  </si>
  <si>
    <t>净饮水店百亿，457.66</t>
    <phoneticPr fontId="3" type="noConversion"/>
  </si>
  <si>
    <t>小竹泉1000G</t>
    <phoneticPr fontId="3" type="noConversion"/>
  </si>
  <si>
    <t>842195971715</t>
  </si>
  <si>
    <r>
      <t>小竹泉1</t>
    </r>
    <r>
      <rPr>
        <sz val="11"/>
        <color theme="1"/>
        <rFont val="宋体"/>
        <family val="3"/>
        <charset val="134"/>
        <scheme val="minor"/>
      </rPr>
      <t>000G</t>
    </r>
    <phoneticPr fontId="3" type="noConversion"/>
  </si>
  <si>
    <t>6923185654865</t>
    <phoneticPr fontId="3" type="noConversion"/>
  </si>
  <si>
    <t>序号</t>
    <phoneticPr fontId="3" type="noConversion"/>
  </si>
  <si>
    <t>百亿链接</t>
    <phoneticPr fontId="3" type="noConversion"/>
  </si>
  <si>
    <t>云米净水器耗材旗舰店</t>
    <phoneticPr fontId="3" type="noConversion"/>
  </si>
  <si>
    <t>北京星途</t>
    <phoneticPr fontId="3" type="noConversion"/>
  </si>
  <si>
    <r>
      <rPr>
        <sz val="11"/>
        <color theme="1"/>
        <rFont val="宋体"/>
        <family val="3"/>
        <charset val="134"/>
        <scheme val="minor"/>
      </rPr>
      <t>837301408995</t>
    </r>
    <phoneticPr fontId="3" type="noConversion"/>
  </si>
  <si>
    <t>6923185655794</t>
    <phoneticPr fontId="3" type="noConversion"/>
  </si>
  <si>
    <t>新品管线机 冷热管线机Super2 Pro</t>
  </si>
  <si>
    <t>6923185680772</t>
  </si>
  <si>
    <t>837301408995</t>
  </si>
  <si>
    <t>846360072018</t>
  </si>
  <si>
    <t>新品管线机Super2 Pro</t>
    <phoneticPr fontId="3" type="noConversion"/>
  </si>
  <si>
    <t>即热1000G</t>
    <phoneticPr fontId="3" type="noConversion"/>
  </si>
  <si>
    <t>6923185653998</t>
  </si>
  <si>
    <t>S2503111808001</t>
  </si>
  <si>
    <t>S2503111807001</t>
  </si>
  <si>
    <t>6923185655794</t>
  </si>
  <si>
    <t>6923185600190</t>
  </si>
  <si>
    <t>https://item.jd.com/100193748406.html</t>
  </si>
  <si>
    <t>https://item.jd.com/100216835595.html</t>
  </si>
  <si>
    <t>https://item.jd.com/10190163229722.html</t>
  </si>
  <si>
    <t>https://item.jd.com/10190186867694.html</t>
  </si>
  <si>
    <t>https://item.jd.com/10190216497508.html</t>
  </si>
  <si>
    <t>https://item.jd.com/10191186064455.html</t>
  </si>
  <si>
    <t>https://item.jd.com/10191186064454.html</t>
  </si>
  <si>
    <t>https://item.jd.com/10191186064456.html</t>
  </si>
  <si>
    <t>https://item.jd.com/10182080183404.html</t>
  </si>
  <si>
    <t>https://item.jd.com/10140536700853.html</t>
  </si>
  <si>
    <t>https://item.jd.com/10143995938099.html</t>
  </si>
  <si>
    <t>https://item.jd.com/10143995938098.html</t>
  </si>
  <si>
    <t>https://item.jd.com/10133425945325.html</t>
  </si>
  <si>
    <t>https://item.jd.com/10143719582452.html</t>
  </si>
  <si>
    <t>https://item.jd.com/10143724381196.html</t>
  </si>
  <si>
    <t>https://item.jd.com/10142206831637.html</t>
  </si>
  <si>
    <t>https://item.jd.com/10141771939048.html</t>
  </si>
  <si>
    <t>https://item.jd.com/10141771939047.html</t>
  </si>
  <si>
    <t>https://item.jd.com/100118324669.html</t>
  </si>
  <si>
    <t>https://item.jd.com/100094220985.html</t>
  </si>
  <si>
    <t>https://item.jd.com/100135346870.html</t>
  </si>
  <si>
    <t>https://item.jd.com/100152351404.html</t>
  </si>
  <si>
    <t>https://item.jd.com/10138044569479.html</t>
  </si>
  <si>
    <t>https://item.jd.com/10132408489147.html</t>
  </si>
  <si>
    <t>https://item.jd.com/10119791118502.html</t>
  </si>
  <si>
    <t>https://item.jd.com/10119791118501.html</t>
  </si>
  <si>
    <t>https://item.jd.com/10119791118500.html</t>
  </si>
  <si>
    <t>https://item.jd.com/10116378745406.html</t>
  </si>
  <si>
    <t>https://item.jd.com/10114588738475.html</t>
  </si>
  <si>
    <t>https://item.jd.com/100113886253.html</t>
  </si>
  <si>
    <t>https://item.jd.com/10111295291471.html</t>
  </si>
  <si>
    <t>https://item.jd.com/10111293867587.html</t>
  </si>
  <si>
    <t>https://item.jd.com/10110497340896.html</t>
  </si>
  <si>
    <t>https://item.jd.com/10110497340895.html</t>
  </si>
  <si>
    <t>https://item.jd.com/10110497340894.html</t>
  </si>
  <si>
    <t>https://item.jd.com/100115824870.html</t>
  </si>
  <si>
    <t>https://item.jd.com/10109665694149.html</t>
  </si>
  <si>
    <t>https://item.jd.com/100077882281.html</t>
  </si>
  <si>
    <t>https://item.jd.com/100116427132.html</t>
  </si>
  <si>
    <t>https://item.jd.com/100115824874.html</t>
  </si>
  <si>
    <t>https://item.jd.com/100110195626.html</t>
  </si>
  <si>
    <t>https://item.jd.com/100105367144.html</t>
  </si>
  <si>
    <t>https://item.jd.com/100068186734.html</t>
  </si>
  <si>
    <t>https://item.jd.com/100016946566.html</t>
  </si>
  <si>
    <t>https://item.jd.com/100016946564.html</t>
  </si>
  <si>
    <t>https://item.jd.com/10091890918531.html</t>
  </si>
  <si>
    <t>https://item.jd.com/10091891562922.html</t>
  </si>
  <si>
    <t>https://item.jd.com/100079959578.html</t>
  </si>
  <si>
    <t>https://item.jd.com/100077094651.html</t>
  </si>
  <si>
    <t>https://item.jd.com/100076372285.html</t>
  </si>
  <si>
    <t>https://item.jd.com/10091786953508.html</t>
  </si>
  <si>
    <t>https://item.jd.com/100054671477.html</t>
  </si>
  <si>
    <t>云米AI净饮机Super 2</t>
  </si>
  <si>
    <t>云米AI冷热管线机Super2 Pro</t>
  </si>
  <si>
    <t>云米净水器前置颗粒活性炭滤芯</t>
  </si>
  <si>
    <t>云米净水器PP棉滤芯</t>
  </si>
  <si>
    <t>云米净水器后置炭棒滤芯</t>
  </si>
  <si>
    <t>复合滤芯</t>
  </si>
  <si>
    <t>云米AI昆仑矿泉净水机 Super 2E 2500</t>
  </si>
  <si>
    <t>小海豚净水器+Super2E管线机</t>
  </si>
  <si>
    <t>小海豚1000G+Master 2S管线机</t>
  </si>
  <si>
    <t>云米·泉先前置过滤器 Super</t>
  </si>
  <si>
    <t>云米AI净水器Super 2Y 1200G</t>
  </si>
  <si>
    <t>云米·泉先AI净水器 space 2000G</t>
  </si>
  <si>
    <t>云米·泉先 AI冷热管线机 Master 3</t>
  </si>
  <si>
    <t>云米·泉先AI即热净水器 Super Pro 1000G(升级)</t>
  </si>
  <si>
    <t>573873753845</t>
    <phoneticPr fontId="3" type="noConversion"/>
  </si>
  <si>
    <t>S2405281401001</t>
    <phoneticPr fontId="3" type="noConversion"/>
  </si>
  <si>
    <t>S2407170910001</t>
    <phoneticPr fontId="3" type="noConversion"/>
  </si>
  <si>
    <t>849648457333</t>
    <phoneticPr fontId="3" type="noConversion"/>
  </si>
  <si>
    <t>6923185654254</t>
    <phoneticPr fontId="3" type="noConversion"/>
  </si>
  <si>
    <r>
      <rPr>
        <sz val="11"/>
        <color theme="1"/>
        <rFont val="宋体"/>
        <family val="3"/>
        <charset val="134"/>
        <scheme val="minor"/>
      </rPr>
      <t>849000374681</t>
    </r>
    <phoneticPr fontId="3" type="noConversion"/>
  </si>
  <si>
    <r>
      <t>现货泉</t>
    </r>
    <r>
      <rPr>
        <sz val="11"/>
        <color theme="1"/>
        <rFont val="宋体"/>
        <family val="3"/>
        <charset val="134"/>
        <scheme val="minor"/>
      </rPr>
      <t xml:space="preserve"> </t>
    </r>
    <r>
      <rPr>
        <sz val="11"/>
        <color theme="1"/>
        <rFont val="宋体"/>
        <family val="3"/>
        <charset val="134"/>
        <scheme val="minor"/>
      </rPr>
      <t>2</t>
    </r>
    <r>
      <rPr>
        <sz val="11"/>
        <color theme="1"/>
        <rFont val="宋体"/>
        <family val="3"/>
        <charset val="134"/>
        <scheme val="minor"/>
      </rPr>
      <t>Y</t>
    </r>
    <phoneticPr fontId="3" type="noConversion"/>
  </si>
  <si>
    <t>百亿补贴，749*0.8=599，京东最低575.28</t>
    <phoneticPr fontId="3" type="noConversion"/>
  </si>
  <si>
    <t>京东1699，投诉我，我百亿下了</t>
    <phoneticPr fontId="3" type="noConversion"/>
  </si>
  <si>
    <t>百亿补贴失效，产品比价，重新上链接846750208008</t>
    <phoneticPr fontId="3" type="noConversion"/>
  </si>
  <si>
    <t>846750208008</t>
  </si>
  <si>
    <t>拼多多美承1854，京东1404，天猫1519，价格表1679，我1679报名百亿试试，不行再看</t>
    <phoneticPr fontId="3" type="noConversion"/>
  </si>
  <si>
    <t>百亿补贴，叠加千万爆款团活动。平台券38元，最低559</t>
    <phoneticPr fontId="3" type="noConversion"/>
  </si>
  <si>
    <t>京东998，滤芯终身5折。天猫1025，滤芯终身7折。比价，需要重起链接850344043841</t>
    <phoneticPr fontId="3" type="noConversion"/>
  </si>
  <si>
    <t>899，百亿补贴+官补，官补审核中，过了记得把首件优惠去掉</t>
    <phoneticPr fontId="3" type="noConversion"/>
  </si>
  <si>
    <t>京东投诉，全屋净水（易兔），自补后764，京东764.23</t>
    <phoneticPr fontId="3" type="noConversion"/>
  </si>
  <si>
    <t>850883552953</t>
    <phoneticPr fontId="3" type="noConversion"/>
  </si>
  <si>
    <t>6923185653592</t>
    <phoneticPr fontId="3" type="noConversion"/>
  </si>
  <si>
    <t>小蓝调600G</t>
    <phoneticPr fontId="3" type="noConversion"/>
  </si>
  <si>
    <t>6923185654247</t>
    <phoneticPr fontId="3" type="noConversion"/>
  </si>
  <si>
    <t>云米AI净水器Smart 1000G</t>
  </si>
  <si>
    <t>云米·泉先AI净水器蓝调 600G+</t>
  </si>
  <si>
    <t>MG6D-A</t>
  </si>
  <si>
    <t>MR1021</t>
  </si>
  <si>
    <t>MR10102-E</t>
  </si>
  <si>
    <t>MR1072</t>
  </si>
  <si>
    <t>MR10102-A</t>
  </si>
  <si>
    <t>云米AI净水器小白龙800G+</t>
  </si>
  <si>
    <t>MR862-C</t>
  </si>
  <si>
    <t>MR662-E</t>
  </si>
  <si>
    <t>MR662-D</t>
  </si>
  <si>
    <t>MG6-A</t>
  </si>
  <si>
    <t>MR862</t>
  </si>
  <si>
    <t>MG5D-A</t>
  </si>
  <si>
    <t>VF4-A</t>
  </si>
  <si>
    <t>MR122R-B</t>
  </si>
  <si>
    <t>标准名称</t>
    <phoneticPr fontId="3" type="noConversion"/>
  </si>
  <si>
    <t>标注型号</t>
    <phoneticPr fontId="3" type="noConversion"/>
  </si>
  <si>
    <t>云米·泉先 AI冷热管线机 Super 2E</t>
    <phoneticPr fontId="3" type="noConversion"/>
  </si>
  <si>
    <t>云米AI净水器小海豚600G+，云米·泉先 AI冷热管线机 Super 2E</t>
    <phoneticPr fontId="3" type="noConversion"/>
  </si>
  <si>
    <t>云米AI净水器小海豚600G+，云米·泉先AI管线机Master2S</t>
    <phoneticPr fontId="3" type="noConversion"/>
  </si>
  <si>
    <t>云米 AI净水器小海豚2，云米·泉先AI管线机Master2S</t>
    <phoneticPr fontId="3" type="noConversion"/>
  </si>
  <si>
    <t>云米 AI净水器小海豚2，云米·泉先 AI冷热管线机 Super 2E</t>
    <phoneticPr fontId="3" type="noConversion"/>
  </si>
  <si>
    <t>MR862,MG6-A</t>
    <phoneticPr fontId="3" type="noConversion"/>
  </si>
  <si>
    <t>MR662-E,MG6-A</t>
    <phoneticPr fontId="3" type="noConversion"/>
  </si>
  <si>
    <t>MR1021,MG6-A</t>
    <phoneticPr fontId="3" type="noConversion"/>
  </si>
  <si>
    <t>MR662-E,MG5D-A</t>
    <phoneticPr fontId="3" type="noConversion"/>
  </si>
  <si>
    <t>MR1021,MG5D-A</t>
    <phoneticPr fontId="3" type="noConversion"/>
  </si>
  <si>
    <t>866,平台补61元，到手805元，799，京东971, 平台补43.88</t>
    <phoneticPr fontId="3" type="noConversion"/>
  </si>
  <si>
    <t>百亿补贴，1349,该商品平台求助率较高，不符合频道要求，请整改后报名。</t>
    <phoneticPr fontId="3" type="noConversion"/>
  </si>
  <si>
    <t>852161740747</t>
    <phoneticPr fontId="3" type="noConversion"/>
  </si>
  <si>
    <t>S2508151538001</t>
    <phoneticPr fontId="3" type="noConversion"/>
  </si>
  <si>
    <t>云米AI净水器小海豚600G+，复合滤芯X2</t>
    <phoneticPr fontId="3" type="noConversion"/>
  </si>
  <si>
    <t>小海豚600G+6年套装</t>
    <phoneticPr fontId="3" type="noConversion"/>
  </si>
  <si>
    <t>837957770723</t>
  </si>
  <si>
    <t>850883552953</t>
  </si>
  <si>
    <t>852161740747</t>
  </si>
  <si>
    <t>849648457333</t>
  </si>
  <si>
    <t>850333437206</t>
  </si>
  <si>
    <t>849000374681</t>
  </si>
  <si>
    <t>滤芯</t>
    <phoneticPr fontId="3" type="noConversion"/>
  </si>
  <si>
    <r>
      <t>小白龙8</t>
    </r>
    <r>
      <rPr>
        <sz val="11"/>
        <color theme="1"/>
        <rFont val="宋体"/>
        <family val="3"/>
        <charset val="134"/>
        <scheme val="minor"/>
      </rPr>
      <t>00G</t>
    </r>
    <phoneticPr fontId="3" type="noConversion"/>
  </si>
  <si>
    <t>206901448656</t>
  </si>
  <si>
    <t>404785544068</t>
  </si>
  <si>
    <t>826132418811</t>
  </si>
  <si>
    <t>220867531419</t>
  </si>
  <si>
    <t>540840221349</t>
  </si>
  <si>
    <t>534958364781</t>
  </si>
  <si>
    <t>850344043841</t>
  </si>
  <si>
    <t>Super Y1000G</t>
  </si>
  <si>
    <t>即热水吧</t>
  </si>
  <si>
    <t>垃圾处理器</t>
  </si>
  <si>
    <t>X2mini Mango</t>
  </si>
  <si>
    <t>SuperY</t>
  </si>
  <si>
    <t>云米24m³大吸力顶侧3吸油烟机聚能猛火灶 烟灶智能联动套装嵌入式</t>
  </si>
  <si>
    <t>云米120°超广角猫眼全自动智能门锁电池家用客厅安全室内高清大屏</t>
  </si>
  <si>
    <t>云米电热水器50/60升洗澡家用浴室速热大容量省电防漏电警示安全</t>
  </si>
  <si>
    <t>云米全自动智能3D人脸识别门锁家用电池安全防盗指纹密码安全刷脸</t>
  </si>
  <si>
    <t>未定价，百亿抓价到639，没办法做</t>
    <phoneticPr fontId="3" type="noConversion"/>
  </si>
  <si>
    <t>平台ID</t>
    <phoneticPr fontId="3" type="noConversion"/>
  </si>
  <si>
    <t>物料编码</t>
    <phoneticPr fontId="3" type="noConversion"/>
  </si>
  <si>
    <t>1807596233986</t>
    <phoneticPr fontId="3" type="noConversion"/>
  </si>
  <si>
    <t>1807613941477</t>
    <phoneticPr fontId="3" type="noConversion"/>
  </si>
  <si>
    <t xml:space="preserve">1813015099169 </t>
    <phoneticPr fontId="3" type="noConversion"/>
  </si>
  <si>
    <t>1810108178225</t>
    <phoneticPr fontId="3" type="noConversion"/>
  </si>
  <si>
    <t>1812658223669</t>
    <phoneticPr fontId="3" type="noConversion"/>
  </si>
  <si>
    <t>1600502140541</t>
  </si>
  <si>
    <t>1537803249260</t>
  </si>
  <si>
    <t>1787046011387</t>
  </si>
  <si>
    <t>1800120524656</t>
  </si>
  <si>
    <t>1803617356458</t>
  </si>
  <si>
    <t>1640308935573</t>
  </si>
  <si>
    <t>1584984425232</t>
  </si>
  <si>
    <t>1809523164736</t>
  </si>
  <si>
    <t>1811278299045</t>
  </si>
  <si>
    <t>1620106386127</t>
  </si>
  <si>
    <t>1807240839093</t>
  </si>
  <si>
    <t>1455593712429</t>
  </si>
  <si>
    <t>1792670253677</t>
  </si>
  <si>
    <t>10.01.01.01.0174</t>
  </si>
  <si>
    <t>10.01.01.05.0027</t>
  </si>
  <si>
    <t>10.01.01.01.0180</t>
  </si>
  <si>
    <t>10.01.01.01.0183</t>
  </si>
  <si>
    <t>10.01.01.01.0197</t>
  </si>
  <si>
    <t>10.01.01.04.0004</t>
  </si>
  <si>
    <t>10.01.01.01.0181</t>
  </si>
  <si>
    <t>10.01.01.01.0170</t>
  </si>
  <si>
    <t>10.01.01.10.0011</t>
  </si>
  <si>
    <t>10.01.01.01.0152</t>
  </si>
  <si>
    <t>10.01.01.04.0007</t>
  </si>
  <si>
    <t>10.01.01.02.0026</t>
  </si>
  <si>
    <t>10.01.01.01.0184</t>
  </si>
  <si>
    <t>852932116812</t>
    <phoneticPr fontId="3" type="noConversion"/>
  </si>
  <si>
    <r>
      <rPr>
        <sz val="9"/>
        <color theme="1"/>
        <rFont val="宋体"/>
        <family val="3"/>
        <charset val="134"/>
      </rPr>
      <t>小海豚</t>
    </r>
    <r>
      <rPr>
        <sz val="9"/>
        <color theme="1"/>
        <rFont val="Segoe UI"/>
        <family val="2"/>
      </rPr>
      <t>600G+2</t>
    </r>
    <r>
      <rPr>
        <sz val="9"/>
        <color theme="1"/>
        <rFont val="宋体"/>
        <family val="3"/>
        <charset val="134"/>
      </rPr>
      <t>支滤芯</t>
    </r>
    <phoneticPr fontId="3" type="noConversion"/>
  </si>
  <si>
    <t>京东579，新链接培养试试,比价了，做不了</t>
    <phoneticPr fontId="3" type="noConversion"/>
  </si>
  <si>
    <t>京东1439，多多1439</t>
    <phoneticPr fontId="3" type="noConversion"/>
  </si>
  <si>
    <t>维度</t>
  </si>
  <si>
    <t>① 自营官方旗舰店 (主阵地)</t>
  </si>
  <si>
    <t>② 自营品类旗舰店 (突击队)</t>
  </si>
  <si>
    <t>③ 其他旗舰店 (游击队)</t>
  </si>
  <si>
    <t>店铺定位</t>
  </si>
  <si>
    <t>【品牌树立 + 价格标杆】</t>
  </si>
  <si>
    <t>【极致单品 + 流量收割】</t>
  </si>
  <si>
    <t>【差异化组套 + 收割心理】</t>
  </si>
  <si>
    <t>代表品牌官方形象，建立用户信任，承接搜索品牌词的流量。</t>
  </si>
  <si>
    <t>专为499爆品而生，不做杂七杂八，店铺权重极度垂直，效率最高。</t>
  </si>
  <si>
    <t>主打“工厂直营”或“特卖”心智，用不同的SKU组合拦截长尾流量。</t>
  </si>
  <si>
    <t>GMV目标</t>
  </si>
  <si>
    <t>50% (稳扎稳打)</t>
  </si>
  <si>
    <t>30% (激进冲锋)</t>
  </si>
  <si>
    <t>20% (查漏补缺)</t>
  </si>
  <si>
    <t>产品矩阵</t>
  </si>
  <si>
    <t>【全产品线覆盖：树立品牌形象
1. 引流款： 小海豚3-600G (499元)
2. 改善款： Super Pro 1000G、1200G鲜活泉、即热款。
3. 全家桶： 全系管线机、台净、滤芯。
策略： 只有这里能买到最全的型号，承接所有高端需求。</t>
  </si>
  <si>
    <t>【聚焦“小海豚”性价比系列】
1. 核心爆款： 小海豚3-600G (499元) (占比80%)
2. 升杯款： 小海豚2-1000G、待定小海豚3-1000G。
策略： 砍掉1000元以上的高端机和管线机，只卖千元内的极致性价比款，确保人群标签极度精准。</t>
  </si>
  <si>
    <t>【差异化/套装/新品测试】
1. 套购组合： “净水器+管线机”套装，“净水器+3年滤芯”套装。
2. 细分品类： 重点推AI管线机系列、台净入口机。
3. 差异化新品： 承接26年上市的 Pro系列 (600-Pro/1000-Pro)，与主店的标准版做区分。</t>
  </si>
  <si>
    <t>链接数量</t>
  </si>
  <si>
    <t>30个常规链接+20个百亿补贴链接</t>
  </si>
  <si>
    <t>5个常规链接+2个百亿链接</t>
  </si>
  <si>
    <t>50个常规链接+30个百亿补贴链接</t>
  </si>
  <si>
    <t>499策略</t>
  </si>
  <si>
    <t>策略：正规军打法</t>
  </si>
  <si>
    <t>策略：爆款打法</t>
  </si>
  <si>
    <t>策略：差异化打法</t>
  </si>
  <si>
    <t>(同款不同法)</t>
  </si>
  <si>
    <t>· 上架标准版链接。</t>
  </si>
  <si>
    <t>· 复制链接： 换一套主图和标题，上架同样的499产品。</t>
  </si>
  <si>
    <t>· 防比价： 不直接挂499，而是挂“499+赠品”或“多滤芯套餐”。</t>
  </si>
  <si>
    <t>· 主图强调：品牌、售后、官方正品。</t>
  </si>
  <si>
    <t>· 视觉差异： 主图用“暴力拆机”、“工厂流水线”等更接地气的素材。</t>
  </si>
  <si>
    <t>· 改规格： 比如主推“租房版”、“公寓版”，其实机器一样，但场景词不同。</t>
  </si>
  <si>
    <t>· 占据“百亿补贴”主坑位。</t>
  </si>
  <si>
    <t>· 活动冲锋： 激进报名万人团、秒杀，敢于亏损冲量。</t>
  </si>
  <si>
    <t>运营动作</t>
  </si>
  <si>
    <t>保 DSR + 做服务</t>
  </si>
  <si>
    <t>全站推广 + 暴力获客</t>
  </si>
  <si>
    <t>自然流 + 捡漏</t>
  </si>
  <si>
    <t>· 确保评分4.8+，作为品牌脸面。</t>
  </si>
  <si>
    <t>· 预算倾斜，全站推广火力全开。</t>
  </si>
  <si>
    <t>· 蹭主店流量，做推荐流量。</t>
  </si>
  <si>
    <t>· 承接对服务要求高的“挑剔客户”。</t>
  </si>
  <si>
    <t>· 客服话术更直接：“就是便宜，买到赚到”。</t>
  </si>
  <si>
    <t>· 承接那些觉得“旗舰店滤芯太贵”想找便宜的用户。</t>
  </si>
  <si>
    <t>开店节奏</t>
  </si>
  <si>
    <t>/</t>
  </si>
  <si>
    <t>2025年12月完成1店、2026年3月完成1店</t>
  </si>
  <si>
    <t>店铺数量</t>
  </si>
  <si>
    <t>京东639，P图款，758重新报名百亿,报不上了，以前799都能上都能卖，现在要求611</t>
    <phoneticPr fontId="3" type="noConversion"/>
  </si>
  <si>
    <t>净饮水（汇美）自补后851.7，京东993.73，917，可以做到1019</t>
    <phoneticPr fontId="3" type="noConversion"/>
  </si>
  <si>
    <t>861508688697</t>
    <phoneticPr fontId="3" type="noConversion"/>
  </si>
  <si>
    <t>拼多多</t>
  </si>
  <si>
    <t>金雨</t>
  </si>
  <si>
    <t xml:space="preserve">
1、GSV
1）月度目标：320万 ，达成：341.53万 ，达成率：106.7%
2）周度目标：35万，本周达成：36万，本周达成率：102%
2、出货
1）月度目标：170万，达成：200.8万 ，达成率118.14% ； 
2）周度目标：30万，达成：33.6万，达成率：112%；
</t>
  </si>
  <si>
    <t>1. 双11复盘，小海豚3上市方案准备。
2. 小海豚600G本周销售338，环比上周380台下滑11%，日均从双11后的54台左右下滑到48台。主要影响的有推广费投入退坡，从15%逐步退至10%，销售有波动影响。
3.厨热产品百补提报：Flash烟灶套装液化气、蓝调2燃热X1重新建链接提报并上线百补。</t>
  </si>
  <si>
    <t>1. 小海豚3新品上市预售准备：商品创建，包括服务套装，滤芯套装等sku的创建和预售，百亿活动的申报。
2.双12海豚2 销售推进，恢复100台+日销。
3.拼多多26年店铺矩阵和承接商规划及推进落地。</t>
  </si>
  <si>
    <t>1、GSV净水
1）月度目标：320万 ，达成：284.01万 ，达成率：88.8% 
2）周度目标：50万，本周达成：70万，达成率：140%；
2、GSV智能
1）月度目标：156万，达成：71万，达成率：45.5%。
2）周度目标：39万，达成：17万，达成率：24.3%。</t>
  </si>
  <si>
    <t>净水：
1.双11复盘，小海豚3上市方案准备。
2.单品链接上新增6年滤芯套装，日均销售7台，下周开始申报短期3天官补。
3.小海豚600G+管线套装受其他平台底价影响掉标需重新培养日销报名百亿。
智能：
1.已完成双十一复盘；
2.主推烟灶套装、热水器等调整链接提报并上线百补。</t>
  </si>
  <si>
    <t>净水：
1.小海豚3新品的链接创建和配套的sku创建。百亿补贴报名和预售设置。专项广告费申请；
2.小海豚600G+管线机的套装裂变，新增+前置过滤器的套装申报百亿补贴；
3.小海豚3新品上市的站内外推广方案优化。
智能：
1.完善烟灶套装sku提报上线百补；
2.蓝调2燃热重新建链提报并上线百补。</t>
  </si>
  <si>
    <t>1、GSV
1）月度目标：320万 ，达成：228万 ，达成率：71.3% 
2）周度目标：50万，本周达成：134万，本周达成率：268%
2、出货
1）月度目标：170万，达成：120万 ，达成率71% ； 
2）周度目标：50万，达成：80.4万，达成率：160%；
进度达预期，持续推进。</t>
  </si>
  <si>
    <t>1. 优化小海豚的推广创意，优化推广成本，本周投产从5逐步提升到8，在投放逐步放大的前提下。
2. 扩充产品，补充639元（600G）,699元（800G）,799元（1000G），1199元（1200G）,1499（1000G即热）都取得了良好的反馈，金额占比达到26%。
3.蓝调2PRO燃热新品上架并上线百补。
4.双11当天调整10元券只549做收割，当天销售350台+</t>
  </si>
  <si>
    <t>1. 双11复盘及小海豚销售持续推进
2. 新品小海豚3上市筹备和预算规划
3. X1电热关注评分问题重新提报百补</t>
  </si>
  <si>
    <t>渠道</t>
  </si>
  <si>
    <t>责任人</t>
  </si>
  <si>
    <t>缺口原因</t>
  </si>
  <si>
    <t>本周重点进度</t>
  </si>
  <si>
    <t>下周重点规划</t>
  </si>
  <si>
    <t>小海豚3（包安装）</t>
    <phoneticPr fontId="3" type="noConversion"/>
  </si>
  <si>
    <t>小海豚3（包安装）+一支滤芯</t>
    <phoneticPr fontId="3" type="noConversion"/>
  </si>
  <si>
    <t>小海豚3（包安装）+两支滤芯</t>
    <phoneticPr fontId="3" type="noConversion"/>
  </si>
  <si>
    <t>https://detail.tmall.com/item.htm?id=899913391731&amp;skuId=5985824424965</t>
    <phoneticPr fontId="3" type="noConversion"/>
  </si>
  <si>
    <t>https://detail.tmall.com/item.htm?id=899913391731&amp;skuId=5985824424966</t>
    <phoneticPr fontId="3" type="noConversion"/>
  </si>
  <si>
    <t>https://detail.tmall.com/item.htm?id=899913391731&amp;skuId=5985824424967</t>
    <phoneticPr fontId="3" type="noConversion"/>
  </si>
  <si>
    <t>https://detail.tmall.com/item.htm?id=899913391731&amp;skuId=5985824424968</t>
    <phoneticPr fontId="3" type="noConversion"/>
  </si>
  <si>
    <r>
      <rPr>
        <sz val="11"/>
        <color theme="1"/>
        <rFont val="宋体"/>
        <family val="3"/>
        <charset val="134"/>
        <scheme val="minor"/>
      </rPr>
      <t>5985824424965</t>
    </r>
    <phoneticPr fontId="3" type="noConversion"/>
  </si>
  <si>
    <r>
      <rPr>
        <sz val="11"/>
        <color theme="1"/>
        <rFont val="宋体"/>
        <family val="3"/>
        <charset val="134"/>
        <scheme val="minor"/>
      </rPr>
      <t>5985824424966</t>
    </r>
    <phoneticPr fontId="3" type="noConversion"/>
  </si>
  <si>
    <r>
      <rPr>
        <sz val="11"/>
        <color theme="1"/>
        <rFont val="宋体"/>
        <family val="3"/>
        <charset val="134"/>
        <scheme val="minor"/>
      </rPr>
      <t>5985824424967</t>
    </r>
    <phoneticPr fontId="3" type="noConversion"/>
  </si>
  <si>
    <t>5985824424968</t>
    <phoneticPr fontId="3" type="noConversion"/>
  </si>
  <si>
    <t>小海豚3（不包安装</t>
    <phoneticPr fontId="3" type="noConversion"/>
  </si>
  <si>
    <t>846360072018</t>
    <phoneticPr fontId="3" type="noConversion"/>
  </si>
  <si>
    <t>296967601341</t>
    <phoneticPr fontId="3" type="noConversion"/>
  </si>
  <si>
    <t>小海豚3复合滤芯</t>
    <phoneticPr fontId="3" type="noConversion"/>
  </si>
  <si>
    <t>1825203669118</t>
    <phoneticPr fontId="3" type="noConversion"/>
  </si>
  <si>
    <t>6923185657347</t>
    <phoneticPr fontId="3" type="noConversion"/>
  </si>
  <si>
    <t>1812983769340</t>
    <phoneticPr fontId="3" type="noConversion"/>
  </si>
  <si>
    <t>百亿补贴,京东 1295,京东1367.28，跟价。上涨20</t>
    <phoneticPr fontId="3" type="noConversion"/>
  </si>
  <si>
    <t>百亿掉线，京东1132，天猫1199，价格表是1198，京东1158，跟价，上涨20</t>
    <phoneticPr fontId="3" type="noConversion"/>
  </si>
  <si>
    <t>昆仑2E 1000G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</si>
</sst>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_ * #,##0_ ;_ * \-#,##0_ ;_ * &quot;-&quot;??_ ;_ @_ "/>
  </numFmts>
  <fonts count="23">
    <font>
      <sz val="11"/>
      <color theme="1"/>
      <name val="宋体"/>
      <charset val="134"/>
      <scheme val="minor"/>
    </font>
    <font>
      <b/>
      <sz val="11"/>
      <name val="宋体"/>
      <family val="3"/>
      <charset val="134"/>
    </font>
    <font>
      <u/>
      <sz val="11"/>
      <color theme="10"/>
      <name val="宋体"/>
      <family val="3"/>
      <charset val="134"/>
      <scheme val="minor"/>
    </font>
    <font>
      <sz val="9"/>
      <name val="宋体"/>
      <family val="3"/>
      <charset val="134"/>
      <scheme val="minor"/>
    </font>
    <font>
      <sz val="11"/>
      <color theme="1"/>
      <name val="宋体"/>
      <family val="3"/>
      <charset val="134"/>
      <scheme val="minor"/>
    </font>
    <font>
      <b/>
      <sz val="11"/>
      <color theme="1"/>
      <name val="宋体"/>
      <family val="2"/>
      <charset val="134"/>
      <scheme val="minor"/>
    </font>
    <font>
      <sz val="9"/>
      <name val="宋体"/>
      <family val="2"/>
      <charset val="134"/>
      <scheme val="minor"/>
    </font>
    <font>
      <sz val="9"/>
      <name val="宋体"/>
      <family val="3"/>
      <charset val="134"/>
      <scheme val="minor"/>
    </font>
    <font>
      <sz val="11"/>
      <color indexed="8"/>
      <name val="宋体"/>
      <family val="2"/>
      <scheme val="minor"/>
    </font>
    <font>
      <sz val="10"/>
      <name val="Tahoma"/>
      <family val="2"/>
    </font>
    <font>
      <sz val="9"/>
      <color theme="1"/>
      <name val="Segoe UI"/>
      <family val="2"/>
    </font>
    <font>
      <sz val="11"/>
      <color theme="1"/>
      <name val="宋体"/>
      <family val="3"/>
      <charset val="134"/>
      <scheme val="minor"/>
    </font>
    <font>
      <sz val="11"/>
      <name val="宋体"/>
      <family val="3"/>
      <charset val="134"/>
      <scheme val="minor"/>
    </font>
    <font>
      <b/>
      <sz val="11"/>
      <name val="宋体"/>
      <family val="3"/>
      <charset val="134"/>
      <scheme val="minor"/>
    </font>
    <font>
      <b/>
      <sz val="10"/>
      <color rgb="FF312E2E"/>
      <name val="PingFang SC"/>
      <family val="2"/>
    </font>
    <font>
      <sz val="9"/>
      <color theme="1"/>
      <name val="宋体"/>
      <family val="3"/>
      <charset val="134"/>
    </font>
    <font>
      <b/>
      <sz val="11"/>
      <color rgb="FF1B1C1D"/>
      <name val="宋体"/>
      <family val="3"/>
      <charset val="134"/>
      <scheme val="minor"/>
    </font>
    <font>
      <sz val="11"/>
      <color rgb="FF1B1C1D"/>
      <name val="宋体"/>
      <family val="3"/>
      <charset val="134"/>
      <scheme val="minor"/>
    </font>
    <font>
      <i/>
      <sz val="11"/>
      <color rgb="FF1B1C1D"/>
      <name val="宋体"/>
      <family val="3"/>
      <charset val="134"/>
      <scheme val="minor"/>
    </font>
    <font>
      <sz val="11"/>
      <color rgb="FF000000"/>
      <name val="宋体"/>
      <family val="3"/>
      <charset val="134"/>
      <scheme val="minor"/>
    </font>
    <font>
      <sz val="10"/>
      <color rgb="FF000000"/>
      <name val="宋体"/>
      <family val="3"/>
      <charset val="134"/>
      <scheme val="minor"/>
    </font>
    <font>
      <b/>
      <sz val="10"/>
      <color rgb="FFFFFFFF"/>
      <name val="宋体"/>
      <family val="3"/>
      <charset val="134"/>
      <scheme val="minor"/>
    </font>
    <font>
      <sz val="9"/>
      <name val="宋体"/>
      <family val="3"/>
      <charset val="134"/>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1DB1B3"/>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4" tint="0.39997558519241921"/>
      </top>
      <bottom style="thin">
        <color theme="4" tint="0.39997558519241921"/>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rgb="FF000000"/>
      </left>
      <right style="thin">
        <color rgb="FF000000"/>
      </right>
      <top style="thin">
        <color rgb="FFDEE0E3"/>
      </top>
      <bottom style="thin">
        <color rgb="FF000000"/>
      </bottom>
      <diagonal/>
    </border>
    <border>
      <left style="thin">
        <color rgb="FFDEE0E3"/>
      </left>
      <right style="thin">
        <color rgb="FF000000"/>
      </right>
      <top style="thin">
        <color rgb="FFDEE0E3"/>
      </top>
      <bottom style="thin">
        <color rgb="FF000000"/>
      </bottom>
      <diagonal/>
    </border>
    <border>
      <left style="thin">
        <color rgb="FF000000"/>
      </left>
      <right style="thin">
        <color rgb="FF000000"/>
      </right>
      <top/>
      <bottom style="thin">
        <color rgb="FF000000"/>
      </bottom>
      <diagonal/>
    </border>
    <border>
      <left style="thin">
        <color rgb="FFDEE0E3"/>
      </left>
      <right style="thin">
        <color rgb="FF000000"/>
      </right>
      <top style="thin">
        <color rgb="FFDEE0E3"/>
      </top>
      <bottom style="thin">
        <color rgb="FFDEE0E3"/>
      </bottom>
      <diagonal/>
    </border>
    <border>
      <left style="thin">
        <color rgb="FF000000"/>
      </left>
      <right style="thin">
        <color rgb="FF000000"/>
      </right>
      <top style="thin">
        <color rgb="FFDEE0E3"/>
      </top>
      <bottom style="thin">
        <color rgb="FFDEE0E3"/>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s>
  <cellStyleXfs count="11">
    <xf numFmtId="0" fontId="0" fillId="0" borderId="0"/>
    <xf numFmtId="0" fontId="2" fillId="0" borderId="0" applyNumberFormat="0" applyFill="0" applyBorder="0" applyAlignment="0" applyProtection="0"/>
    <xf numFmtId="0" fontId="8"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8" fillId="0" borderId="0"/>
    <xf numFmtId="43" fontId="11" fillId="0" borderId="0" applyFont="0" applyFill="0" applyBorder="0" applyAlignment="0" applyProtection="0">
      <alignment vertical="center"/>
    </xf>
    <xf numFmtId="0" fontId="4" fillId="0" borderId="0">
      <alignment vertical="center"/>
    </xf>
  </cellStyleXfs>
  <cellXfs count="78">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left" vertical="center"/>
    </xf>
    <xf numFmtId="49" fontId="0" fillId="0" borderId="0" xfId="0" applyNumberFormat="1" applyAlignment="1">
      <alignment vertical="center"/>
    </xf>
    <xf numFmtId="0" fontId="2" fillId="0" borderId="0" xfId="1"/>
    <xf numFmtId="49" fontId="0" fillId="0" borderId="0" xfId="0" quotePrefix="1" applyNumberFormat="1" applyAlignment="1">
      <alignment horizontal="left" vertical="center"/>
    </xf>
    <xf numFmtId="0" fontId="4" fillId="0" borderId="0" xfId="0" applyFont="1"/>
    <xf numFmtId="0" fontId="1" fillId="0" borderId="2" xfId="0" applyFont="1" applyBorder="1" applyAlignment="1">
      <alignment horizontal="center" vertical="top"/>
    </xf>
    <xf numFmtId="0" fontId="0" fillId="0" borderId="0" xfId="0" quotePrefix="1"/>
    <xf numFmtId="49" fontId="0" fillId="0" borderId="0" xfId="0" applyNumberFormat="1"/>
    <xf numFmtId="0" fontId="0" fillId="0" borderId="0" xfId="0" applyAlignment="1">
      <alignment horizontal="left" vertical="center" indent="1"/>
    </xf>
    <xf numFmtId="0" fontId="5" fillId="0" borderId="0" xfId="0" applyFont="1" applyAlignment="1">
      <alignment horizontal="left" vertical="center"/>
    </xf>
    <xf numFmtId="49" fontId="2" fillId="0" borderId="0" xfId="1" applyNumberFormat="1"/>
    <xf numFmtId="0" fontId="1" fillId="0" borderId="1" xfId="0" applyFont="1" applyBorder="1" applyAlignment="1">
      <alignment horizontal="left" vertical="top"/>
    </xf>
    <xf numFmtId="0" fontId="0" fillId="0" borderId="0" xfId="0" applyAlignment="1">
      <alignment horizontal="left"/>
    </xf>
    <xf numFmtId="0" fontId="5" fillId="0" borderId="0" xfId="0" quotePrefix="1" applyFont="1" applyAlignment="1">
      <alignment horizontal="left" vertical="center"/>
    </xf>
    <xf numFmtId="0" fontId="0" fillId="0" borderId="0" xfId="0" applyAlignment="1">
      <alignment horizontal="center"/>
    </xf>
    <xf numFmtId="49" fontId="4" fillId="0" borderId="0" xfId="0" quotePrefix="1" applyNumberFormat="1" applyFont="1"/>
    <xf numFmtId="0" fontId="4" fillId="0" borderId="1" xfId="0" applyFont="1" applyBorder="1" applyAlignment="1">
      <alignment horizontal="center" shrinkToFit="1"/>
    </xf>
    <xf numFmtId="0" fontId="0" fillId="0" borderId="1" xfId="0" applyBorder="1" applyAlignment="1">
      <alignment horizontal="center" vertical="center" shrinkToFit="1"/>
    </xf>
    <xf numFmtId="0" fontId="4" fillId="0" borderId="1" xfId="0" applyFont="1" applyBorder="1" applyAlignment="1">
      <alignment horizontal="center" vertical="center" shrinkToFit="1"/>
    </xf>
    <xf numFmtId="0" fontId="0" fillId="0" borderId="0" xfId="0" applyAlignment="1">
      <alignment vertical="center"/>
    </xf>
    <xf numFmtId="0" fontId="0" fillId="0" borderId="3" xfId="0" applyBorder="1"/>
    <xf numFmtId="0" fontId="10" fillId="0" borderId="0" xfId="0" applyFont="1"/>
    <xf numFmtId="49" fontId="4" fillId="0" borderId="0" xfId="0" applyNumberFormat="1" applyFont="1" applyAlignment="1">
      <alignment horizontal="center"/>
    </xf>
    <xf numFmtId="0" fontId="4" fillId="0" borderId="0" xfId="0" quotePrefix="1" applyFont="1"/>
    <xf numFmtId="0" fontId="12" fillId="0" borderId="0" xfId="0" applyFont="1" applyAlignment="1">
      <alignment horizontal="center"/>
    </xf>
    <xf numFmtId="0" fontId="12" fillId="0" borderId="0" xfId="0" applyFont="1" applyAlignment="1">
      <alignment horizontal="center" vertical="center"/>
    </xf>
    <xf numFmtId="0" fontId="13" fillId="0" borderId="4" xfId="0" applyFont="1" applyBorder="1" applyAlignment="1">
      <alignment horizontal="center"/>
    </xf>
    <xf numFmtId="0" fontId="13" fillId="0" borderId="6" xfId="0" applyFont="1" applyBorder="1" applyAlignment="1">
      <alignment horizontal="center"/>
    </xf>
    <xf numFmtId="0" fontId="12" fillId="0" borderId="4" xfId="0" applyFont="1" applyBorder="1" applyAlignment="1">
      <alignment horizontal="center" vertical="center"/>
    </xf>
    <xf numFmtId="0" fontId="12" fillId="0" borderId="6" xfId="0" applyFont="1" applyBorder="1" applyAlignment="1">
      <alignment horizontal="center"/>
    </xf>
    <xf numFmtId="0" fontId="12" fillId="0" borderId="5" xfId="0" applyFont="1" applyBorder="1" applyAlignment="1">
      <alignment horizontal="center" vertical="center"/>
    </xf>
    <xf numFmtId="0" fontId="12" fillId="0" borderId="7" xfId="0" applyFont="1" applyBorder="1" applyAlignment="1">
      <alignment horizontal="center"/>
    </xf>
    <xf numFmtId="0" fontId="14" fillId="0" borderId="0" xfId="0" applyFont="1"/>
    <xf numFmtId="0" fontId="4" fillId="0" borderId="0" xfId="0" applyFont="1" applyAlignment="1">
      <alignment horizontal="center" vertical="center"/>
    </xf>
    <xf numFmtId="49" fontId="4" fillId="0" borderId="0" xfId="0" applyNumberFormat="1" applyFont="1" applyAlignment="1">
      <alignment horizontal="center" vertical="center" wrapText="1"/>
    </xf>
    <xf numFmtId="49" fontId="4" fillId="0" borderId="0" xfId="0" applyNumberFormat="1" applyFont="1" applyAlignment="1">
      <alignment horizontal="center" vertical="center"/>
    </xf>
    <xf numFmtId="176" fontId="4" fillId="0" borderId="0" xfId="9" applyNumberFormat="1" applyFont="1" applyAlignment="1">
      <alignment horizontal="center" vertical="center"/>
    </xf>
    <xf numFmtId="0" fontId="0" fillId="0" borderId="0" xfId="0" applyAlignment="1">
      <alignment horizontal="center" vertical="center"/>
    </xf>
    <xf numFmtId="176" fontId="0" fillId="0" borderId="0" xfId="9"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top"/>
    </xf>
    <xf numFmtId="49" fontId="4" fillId="0" borderId="0" xfId="0" applyNumberFormat="1" applyFont="1" applyAlignment="1">
      <alignment horizontal="center" vertical="top" wrapText="1"/>
    </xf>
    <xf numFmtId="49" fontId="4" fillId="0" borderId="0" xfId="0" applyNumberFormat="1" applyFont="1" applyAlignment="1">
      <alignment horizontal="center" vertical="top"/>
    </xf>
    <xf numFmtId="176" fontId="4" fillId="0" borderId="0" xfId="9" applyNumberFormat="1" applyFont="1" applyAlignment="1">
      <alignment horizontal="center" vertical="top"/>
    </xf>
    <xf numFmtId="0" fontId="4" fillId="0" borderId="0" xfId="0" applyFont="1" applyAlignment="1">
      <alignment horizontal="center" vertical="top" wrapText="1"/>
    </xf>
    <xf numFmtId="176" fontId="0" fillId="0" borderId="0" xfId="9" applyNumberFormat="1" applyFont="1" applyAlignment="1">
      <alignment horizontal="center" vertical="top"/>
    </xf>
    <xf numFmtId="176" fontId="4" fillId="0" borderId="0" xfId="9" applyNumberFormat="1" applyFont="1" applyFill="1" applyAlignment="1">
      <alignment horizontal="center" vertical="top"/>
    </xf>
    <xf numFmtId="0" fontId="4" fillId="0" borderId="0" xfId="0" quotePrefix="1" applyFont="1" applyAlignment="1">
      <alignment horizontal="center" vertical="top"/>
    </xf>
    <xf numFmtId="0" fontId="0" fillId="0" borderId="0" xfId="0" applyAlignment="1">
      <alignment horizontal="center" vertical="top" wrapText="1"/>
    </xf>
    <xf numFmtId="0" fontId="0" fillId="0" borderId="0" xfId="0" quotePrefix="1" applyAlignment="1">
      <alignment horizontal="center" vertical="top"/>
    </xf>
    <xf numFmtId="49" fontId="4" fillId="0" borderId="0" xfId="0" quotePrefix="1" applyNumberFormat="1" applyFont="1" applyAlignment="1">
      <alignment horizontal="center" vertical="top"/>
    </xf>
    <xf numFmtId="0" fontId="4" fillId="0" borderId="0" xfId="0" applyFont="1" applyAlignment="1">
      <alignment horizontal="center" vertical="top"/>
    </xf>
    <xf numFmtId="176" fontId="4" fillId="0" borderId="0" xfId="9" quotePrefix="1" applyNumberFormat="1" applyFont="1" applyAlignment="1">
      <alignment horizontal="center" vertical="top"/>
    </xf>
    <xf numFmtId="0" fontId="0" fillId="2" borderId="0" xfId="0" applyFill="1" applyAlignment="1">
      <alignment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1" xfId="0" applyFont="1" applyBorder="1" applyAlignment="1">
      <alignment horizontal="center" vertical="center"/>
    </xf>
    <xf numFmtId="0" fontId="17" fillId="0" borderId="9" xfId="0" applyFont="1" applyBorder="1" applyAlignment="1">
      <alignment horizontal="center" vertical="center"/>
    </xf>
    <xf numFmtId="0" fontId="16" fillId="0" borderId="12" xfId="0" applyFont="1" applyBorder="1" applyAlignment="1">
      <alignment horizontal="center" vertical="center"/>
    </xf>
    <xf numFmtId="0" fontId="18" fillId="0" borderId="12" xfId="0" applyFont="1" applyBorder="1" applyAlignment="1">
      <alignment horizontal="center" vertical="center"/>
    </xf>
    <xf numFmtId="0" fontId="17" fillId="0" borderId="11" xfId="0" applyFont="1" applyBorder="1" applyAlignment="1">
      <alignment horizontal="center" vertical="center"/>
    </xf>
    <xf numFmtId="0" fontId="19" fillId="0" borderId="12"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20" fillId="0" borderId="15" xfId="0" applyFont="1" applyBorder="1" applyAlignment="1">
      <alignment horizontal="center" vertical="center"/>
    </xf>
    <xf numFmtId="0" fontId="0" fillId="0" borderId="0" xfId="0" applyAlignment="1">
      <alignment wrapText="1"/>
    </xf>
    <xf numFmtId="0" fontId="20" fillId="0" borderId="15" xfId="0" applyFont="1" applyBorder="1" applyAlignment="1">
      <alignment vertical="center"/>
    </xf>
    <xf numFmtId="0" fontId="21" fillId="3" borderId="15" xfId="0" applyFont="1" applyFill="1" applyBorder="1" applyAlignment="1">
      <alignment horizontal="center" vertical="center"/>
    </xf>
    <xf numFmtId="0" fontId="21" fillId="3" borderId="16" xfId="0" applyFont="1" applyFill="1" applyBorder="1" applyAlignment="1">
      <alignment horizontal="center" vertical="center"/>
    </xf>
    <xf numFmtId="0" fontId="21" fillId="3" borderId="15" xfId="0" applyFont="1" applyFill="1" applyBorder="1" applyAlignment="1">
      <alignment horizontal="center" vertical="center" wrapText="1"/>
    </xf>
    <xf numFmtId="0" fontId="20" fillId="0" borderId="15" xfId="0" applyFont="1" applyBorder="1" applyAlignment="1">
      <alignment horizontal="left" vertical="center" wrapText="1"/>
    </xf>
    <xf numFmtId="0" fontId="4" fillId="0" borderId="0" xfId="0" applyFont="1" applyAlignment="1">
      <alignment wrapText="1"/>
    </xf>
    <xf numFmtId="0" fontId="16" fillId="0" borderId="14" xfId="0" applyFont="1" applyBorder="1" applyAlignment="1">
      <alignment horizontal="center" vertical="center"/>
    </xf>
    <xf numFmtId="0" fontId="16" fillId="0" borderId="10" xfId="0" applyFont="1" applyBorder="1" applyAlignment="1">
      <alignment horizontal="center" vertical="center"/>
    </xf>
    <xf numFmtId="0" fontId="16" fillId="0" borderId="13" xfId="0" applyFont="1" applyBorder="1" applyAlignment="1">
      <alignment horizontal="center" vertical="center"/>
    </xf>
  </cellXfs>
  <cellStyles count="11">
    <cellStyle name="Comma" xfId="6" xr:uid="{13E925C8-77DE-4CC4-8857-246032B157DB}"/>
    <cellStyle name="Comma [0]" xfId="7" xr:uid="{7D466E4F-2BB9-4CC2-9447-36BD3C5253A7}"/>
    <cellStyle name="Currency" xfId="4" xr:uid="{2B14BC8D-C482-4F50-BFDD-81659B08C10D}"/>
    <cellStyle name="Currency [0]" xfId="5" xr:uid="{32640C62-AC06-4704-B5FB-5C1849D5061D}"/>
    <cellStyle name="Normal" xfId="8" xr:uid="{833AAFDE-AB81-4A53-9B6A-103DD36584FE}"/>
    <cellStyle name="Percent" xfId="3" xr:uid="{068D6051-09C9-4A17-809B-03281DA55FE1}"/>
    <cellStyle name="常规" xfId="0" builtinId="0"/>
    <cellStyle name="常规 2" xfId="2" xr:uid="{A3E10780-EC52-467C-AEBC-CB4F18197ACA}"/>
    <cellStyle name="常规 3" xfId="10" xr:uid="{C79F3886-D490-409C-874F-3828987070C8}"/>
    <cellStyle name="超链接" xfId="1" builtinId="8"/>
    <cellStyle name="千位分隔" xfId="9" builtinId="3"/>
  </cellStyles>
  <dxfs count="20">
    <dxf>
      <font>
        <color rgb="FF9C0006"/>
      </font>
      <fill>
        <patternFill>
          <bgColor rgb="FFFFC7CE"/>
        </patternFill>
      </fill>
    </dxf>
    <dxf>
      <font>
        <b val="0"/>
        <i val="0"/>
        <strike val="0"/>
        <condense val="0"/>
        <extend val="0"/>
        <outline val="0"/>
        <shadow val="0"/>
        <u val="none"/>
        <vertAlign val="baseline"/>
        <sz val="11"/>
        <color theme="1"/>
        <name val="宋体"/>
        <family val="3"/>
        <charset val="134"/>
        <scheme val="minor"/>
      </font>
      <numFmt numFmtId="30" formatCode="@"/>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30" formatCode="@"/>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30" formatCode="@"/>
      <alignment horizontal="center" vertical="top" textRotation="0" wrapText="1" indent="0" justifyLastLine="0" shrinkToFit="0" readingOrder="0"/>
    </dxf>
    <dxf>
      <font>
        <b val="0"/>
        <i val="0"/>
        <strike val="0"/>
        <condense val="0"/>
        <extend val="0"/>
        <outline val="0"/>
        <shadow val="0"/>
        <u val="none"/>
        <vertAlign val="baseline"/>
        <sz val="11"/>
        <color theme="1"/>
        <name val="宋体"/>
        <charset val="134"/>
        <scheme val="minor"/>
      </font>
      <numFmt numFmtId="176" formatCode="_ * #,##0_ ;_ * \-#,##0_ ;_ * &quot;-&quot;??_ ;_ @_ "/>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30" formatCode="@"/>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30" formatCode="@"/>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30" formatCode="@"/>
      <alignment horizontal="center" vertical="top" textRotation="0" wrapText="1" indent="0" justifyLastLine="0" shrinkToFit="0" readingOrder="0"/>
    </dxf>
    <dxf>
      <alignment horizontal="center" vertical="top" textRotation="0" indent="0" justifyLastLine="0" shrinkToFit="0" readingOrder="0"/>
    </dxf>
    <dxf>
      <font>
        <b val="0"/>
        <i val="0"/>
        <strike val="0"/>
        <condense val="0"/>
        <extend val="0"/>
        <outline val="0"/>
        <shadow val="0"/>
        <u val="none"/>
        <vertAlign val="baseline"/>
        <sz val="11"/>
        <color theme="1"/>
        <name val="宋体"/>
        <family val="3"/>
        <charset val="134"/>
        <scheme val="minor"/>
      </font>
      <numFmt numFmtId="30" formatCode="@"/>
      <alignment horizontal="center" vertical="top" textRotation="0" wrapText="0" indent="0" justifyLastLine="0" shrinkToFit="0" readingOrder="0"/>
    </dxf>
    <dxf>
      <font>
        <b val="0"/>
        <i val="0"/>
        <strike val="0"/>
        <condense val="0"/>
        <extend val="0"/>
        <outline val="0"/>
        <shadow val="0"/>
        <u val="none"/>
        <vertAlign val="baseline"/>
        <sz val="11"/>
        <color theme="1"/>
        <name val="宋体"/>
        <family val="3"/>
        <charset val="134"/>
        <scheme val="minor"/>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宋体"/>
        <family val="3"/>
        <charset val="134"/>
        <scheme val="minor"/>
      </font>
      <fill>
        <patternFill patternType="none">
          <bgColor auto="1"/>
        </patternFill>
      </fill>
      <alignment horizont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auto="1"/>
        <name val="宋体"/>
        <family val="3"/>
        <charset val="134"/>
        <scheme val="minor"/>
      </font>
      <fill>
        <patternFill patternType="none">
          <bgColor auto="1"/>
        </patternFill>
      </fill>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auto="1"/>
        <name val="宋体"/>
        <family val="3"/>
        <charset val="134"/>
        <scheme val="minor"/>
      </font>
      <fill>
        <patternFill patternType="none">
          <bgColor auto="1"/>
        </patternFill>
      </fill>
      <alignment horizontal="center" vertical="center" textRotation="0" wrapText="0" indent="0" justifyLastLine="0" shrinkToFit="0" readingOrder="0"/>
      <border diagonalUp="0" diagonalDown="0" outline="0">
        <left style="thin">
          <color theme="4"/>
        </left>
        <right/>
        <top style="thin">
          <color theme="4"/>
        </top>
        <bottom/>
      </border>
    </dxf>
    <dxf>
      <font>
        <b val="0"/>
        <i val="0"/>
        <strike val="0"/>
        <condense val="0"/>
        <extend val="0"/>
        <outline val="0"/>
        <shadow val="0"/>
        <u val="none"/>
        <vertAlign val="baseline"/>
        <sz val="11"/>
        <color auto="1"/>
        <name val="宋体"/>
        <family val="3"/>
        <charset val="134"/>
        <scheme val="minor"/>
      </font>
      <fill>
        <patternFill patternType="none">
          <bgColor auto="1"/>
        </patternFill>
      </fill>
      <alignment horizontal="center" vertical="center" textRotation="0" wrapText="0" indent="0" justifyLastLine="0" shrinkToFit="0" readingOrder="0"/>
    </dxf>
    <dxf>
      <border outline="0">
        <right style="thin">
          <color theme="4"/>
        </right>
      </border>
    </dxf>
    <dxf>
      <fill>
        <patternFill patternType="none">
          <bgColor auto="1"/>
        </patternFill>
      </fill>
      <alignment horizontal="center" textRotation="0" wrapText="0" indent="0" justifyLastLine="0" shrinkToFit="0" readingOrder="0"/>
    </dxf>
    <dxf>
      <fill>
        <patternFill patternType="none">
          <bgColor auto="1"/>
        </patternFill>
      </fill>
      <alignment horizont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istrator\my-playwright-project\download_playwright\PDD\&#25340;&#22810;&#22810;&#27963;&#21160;&#25253;&#21517;&#35760;&#24405;_2025-10-13-02-04-31.csv" TargetMode="External"/><Relationship Id="rId1" Type="http://schemas.openxmlformats.org/officeDocument/2006/relationships/externalLinkPath" Target="/Users/Administrator/my-playwright-project/download_playwright/PDD/&#25340;&#22810;&#22810;&#27963;&#21160;&#25253;&#21517;&#35760;&#24405;_2025-10-13-02-04-31.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拼多多活动报名记录_2025-10-13-02-04-31"/>
    </sheetNames>
    <sheetDataSet>
      <sheetData sheetId="0">
        <row r="1">
          <cell r="J1" t="str">
            <v>活动ID</v>
          </cell>
          <cell r="K1" t="str">
            <v>活动名称</v>
          </cell>
          <cell r="L1" t="str">
            <v>活动类型</v>
          </cell>
        </row>
        <row r="2">
          <cell r="J2" t="str">
            <v>无</v>
          </cell>
          <cell r="K2" t="str">
            <v>无报名记录</v>
          </cell>
          <cell r="L2" t="str">
            <v>无</v>
          </cell>
        </row>
        <row r="3">
          <cell r="J3">
            <v>22496</v>
          </cell>
          <cell r="K3" t="str">
            <v>广告商品-大促专属报名通道</v>
          </cell>
          <cell r="L3" t="str">
            <v>大促搜索池</v>
          </cell>
        </row>
        <row r="4">
          <cell r="J4">
            <v>18425</v>
          </cell>
          <cell r="K4" t="str">
            <v>百补商家自主降价链接</v>
          </cell>
          <cell r="L4" t="str">
            <v>百亿补贴</v>
          </cell>
        </row>
        <row r="5">
          <cell r="J5">
            <v>22148</v>
          </cell>
          <cell r="K5" t="str">
            <v>百亿补贴-百亿加倍补-特定商品报名链接</v>
          </cell>
          <cell r="L5" t="str">
            <v>百亿补贴</v>
          </cell>
        </row>
        <row r="6">
          <cell r="J6">
            <v>21967</v>
          </cell>
          <cell r="K6" t="str">
            <v>【上首页】流量续航（极速审核）</v>
          </cell>
          <cell r="L6" t="str">
            <v>首页推荐专区</v>
          </cell>
        </row>
        <row r="7">
          <cell r="J7">
            <v>23149</v>
          </cell>
          <cell r="K7" t="str">
            <v>平台官方活动-长期-搜索推荐专区</v>
          </cell>
          <cell r="L7" t="str">
            <v>大促搜索池</v>
          </cell>
        </row>
        <row r="8">
          <cell r="J8">
            <v>20981</v>
          </cell>
          <cell r="K8" t="str">
            <v>【10周年庆】20981长期报名入口</v>
          </cell>
          <cell r="L8" t="str">
            <v>大促搜索池</v>
          </cell>
        </row>
        <row r="9">
          <cell r="J9">
            <v>21610</v>
          </cell>
          <cell r="K9" t="str">
            <v>平台官方大促-晋升长期活动报名</v>
          </cell>
          <cell r="L9" t="str">
            <v>大促搜索池</v>
          </cell>
        </row>
        <row r="10">
          <cell r="J10">
            <v>23620</v>
          </cell>
          <cell r="K10" t="str">
            <v>【10周年庆】-国庆中秋搜索推荐报名专区</v>
          </cell>
          <cell r="L10" t="str">
            <v>大促搜索池</v>
          </cell>
        </row>
        <row r="11">
          <cell r="J11">
            <v>18425</v>
          </cell>
          <cell r="K11" t="str">
            <v>百补商家自主降价链接</v>
          </cell>
          <cell r="L11" t="str">
            <v>百亿补贴</v>
          </cell>
        </row>
        <row r="12">
          <cell r="J12">
            <v>23581</v>
          </cell>
          <cell r="K12" t="str">
            <v>百亿补贴报名入口-全国活动</v>
          </cell>
          <cell r="L12" t="str">
            <v>百亿补贴</v>
          </cell>
        </row>
        <row r="13">
          <cell r="J13">
            <v>23365</v>
          </cell>
          <cell r="K13" t="str">
            <v>月卡专享价—拼多多官方会员活动快速报名</v>
          </cell>
          <cell r="L13" t="str">
            <v>月卡会员活动</v>
          </cell>
        </row>
        <row r="14">
          <cell r="J14">
            <v>22496</v>
          </cell>
          <cell r="K14" t="str">
            <v>广告商品-大促专属报名通道</v>
          </cell>
          <cell r="L14" t="str">
            <v>大促搜索池</v>
          </cell>
        </row>
        <row r="15">
          <cell r="J15">
            <v>22473</v>
          </cell>
          <cell r="K15" t="str">
            <v>百亿长期合资券品类活动报名链接（46）</v>
          </cell>
          <cell r="L15" t="str">
            <v>百亿补贴</v>
          </cell>
        </row>
        <row r="16">
          <cell r="J16">
            <v>21374</v>
          </cell>
          <cell r="K16" t="str">
            <v>平台官方活动-长期-搜索推荐专区</v>
          </cell>
          <cell r="L16" t="str">
            <v>大促搜索池</v>
          </cell>
        </row>
        <row r="17">
          <cell r="J17">
            <v>22148</v>
          </cell>
          <cell r="K17" t="str">
            <v>百亿补贴-百亿加倍补-特定商品报名链接</v>
          </cell>
          <cell r="L17" t="str">
            <v>百亿补贴</v>
          </cell>
        </row>
        <row r="18">
          <cell r="J18">
            <v>18056</v>
          </cell>
          <cell r="K18" t="str">
            <v>【平台官补】补贴秒杀品牌千万爆款团</v>
          </cell>
          <cell r="L18" t="str">
            <v>补贴秒杀</v>
          </cell>
        </row>
        <row r="19">
          <cell r="J19">
            <v>23149</v>
          </cell>
          <cell r="K19" t="str">
            <v>平台官方活动-长期-搜索推荐专区</v>
          </cell>
          <cell r="L19" t="str">
            <v>大促搜索池</v>
          </cell>
        </row>
        <row r="20">
          <cell r="J20">
            <v>22473</v>
          </cell>
          <cell r="K20" t="str">
            <v>百亿长期合资券品类活动报名链接（46）</v>
          </cell>
          <cell r="L20" t="str">
            <v>百亿补贴</v>
          </cell>
        </row>
        <row r="21">
          <cell r="J21">
            <v>18056</v>
          </cell>
          <cell r="K21" t="str">
            <v>【平台官补】补贴秒杀品牌千万爆款团</v>
          </cell>
          <cell r="L21" t="str">
            <v>补贴秒杀</v>
          </cell>
        </row>
        <row r="22">
          <cell r="J22">
            <v>18425</v>
          </cell>
          <cell r="K22" t="str">
            <v>百补商家自主降价链接</v>
          </cell>
          <cell r="L22" t="str">
            <v>百亿补贴</v>
          </cell>
        </row>
        <row r="23">
          <cell r="J23">
            <v>20453</v>
          </cell>
          <cell r="K23" t="str">
            <v>百亿补贴电器限时降价</v>
          </cell>
          <cell r="L23" t="str">
            <v>百亿补贴</v>
          </cell>
        </row>
        <row r="24">
          <cell r="J24">
            <v>23530</v>
          </cell>
          <cell r="K24" t="str">
            <v>百亿补贴电器限时降价（95折入口）</v>
          </cell>
          <cell r="L24" t="str">
            <v>百亿补贴</v>
          </cell>
        </row>
        <row r="25">
          <cell r="J25">
            <v>21967</v>
          </cell>
          <cell r="K25" t="str">
            <v>【上首页】流量续航（极速审核）</v>
          </cell>
          <cell r="L25" t="str">
            <v>首页推荐专区</v>
          </cell>
        </row>
        <row r="26">
          <cell r="J26">
            <v>22827</v>
          </cell>
          <cell r="K26" t="str">
            <v>百亿补贴报名入口-政府补贴（快速通道）</v>
          </cell>
          <cell r="L26" t="str">
            <v>百亿补贴</v>
          </cell>
        </row>
        <row r="27">
          <cell r="J27">
            <v>22496</v>
          </cell>
          <cell r="K27" t="str">
            <v>广告商品-大促专属报名通道</v>
          </cell>
          <cell r="L27" t="str">
            <v>大促搜索池</v>
          </cell>
        </row>
        <row r="28">
          <cell r="J28">
            <v>23620</v>
          </cell>
          <cell r="K28" t="str">
            <v>【10周年庆】-国庆中秋搜索推荐报名专区</v>
          </cell>
          <cell r="L28" t="str">
            <v>大促搜索池</v>
          </cell>
        </row>
        <row r="29">
          <cell r="J29">
            <v>23620</v>
          </cell>
          <cell r="K29" t="str">
            <v>【10周年庆】-国庆中秋搜索推荐报名专区</v>
          </cell>
          <cell r="L29" t="str">
            <v>大促搜索池</v>
          </cell>
        </row>
        <row r="30">
          <cell r="J30">
            <v>21374</v>
          </cell>
          <cell r="K30" t="str">
            <v>平台官方活动-长期-搜索推荐专区</v>
          </cell>
          <cell r="L30" t="str">
            <v>大促搜索池</v>
          </cell>
        </row>
        <row r="31">
          <cell r="J31">
            <v>23365</v>
          </cell>
          <cell r="K31" t="str">
            <v>月卡专享价—拼多多官方会员活动快速报名</v>
          </cell>
          <cell r="L31" t="str">
            <v>月卡会员活动</v>
          </cell>
        </row>
        <row r="32">
          <cell r="J32">
            <v>22148</v>
          </cell>
          <cell r="K32" t="str">
            <v>百亿补贴-百亿加倍补-特定商品报名链接</v>
          </cell>
          <cell r="L32" t="str">
            <v>百亿补贴</v>
          </cell>
        </row>
        <row r="33">
          <cell r="J33">
            <v>21374</v>
          </cell>
          <cell r="K33" t="str">
            <v>平台官方活动-长期-搜索推荐专区</v>
          </cell>
          <cell r="L33" t="str">
            <v>大促搜索池</v>
          </cell>
        </row>
        <row r="34">
          <cell r="J34">
            <v>21374</v>
          </cell>
          <cell r="K34" t="str">
            <v>平台官方活动-长期-搜索推荐专区</v>
          </cell>
          <cell r="L34" t="str">
            <v>大促搜索池</v>
          </cell>
        </row>
        <row r="35">
          <cell r="J35">
            <v>23620</v>
          </cell>
          <cell r="K35" t="str">
            <v>【10周年庆】-国庆中秋搜索推荐报名专区</v>
          </cell>
          <cell r="L35" t="str">
            <v>大促搜索池</v>
          </cell>
        </row>
        <row r="36">
          <cell r="J36">
            <v>23620</v>
          </cell>
          <cell r="K36" t="str">
            <v>【10周年庆】-国庆中秋搜索推荐报名专区</v>
          </cell>
          <cell r="L36" t="str">
            <v>大促搜索池</v>
          </cell>
        </row>
        <row r="37">
          <cell r="J37" t="str">
            <v>无</v>
          </cell>
          <cell r="K37" t="str">
            <v>无报名记录</v>
          </cell>
          <cell r="L37" t="str">
            <v>无</v>
          </cell>
        </row>
        <row r="38">
          <cell r="J38">
            <v>22496</v>
          </cell>
          <cell r="K38" t="str">
            <v>广告商品-大促专属报名通道</v>
          </cell>
          <cell r="L38" t="str">
            <v>大促搜索池</v>
          </cell>
        </row>
        <row r="39">
          <cell r="J39">
            <v>18425</v>
          </cell>
          <cell r="K39" t="str">
            <v>百补商家自主降价链接</v>
          </cell>
          <cell r="L39" t="str">
            <v>百亿补贴</v>
          </cell>
        </row>
        <row r="40">
          <cell r="J40">
            <v>22180</v>
          </cell>
          <cell r="K40" t="str">
            <v>百亿加倍补-电器大爆款报名</v>
          </cell>
          <cell r="L40" t="str">
            <v>百亿补贴</v>
          </cell>
        </row>
        <row r="41">
          <cell r="J41">
            <v>21502</v>
          </cell>
          <cell r="K41" t="str">
            <v>【上首页】极速通道（流量立享）</v>
          </cell>
          <cell r="L41" t="str">
            <v>首页推荐专区</v>
          </cell>
        </row>
        <row r="42">
          <cell r="J42">
            <v>22180</v>
          </cell>
          <cell r="K42" t="str">
            <v>百亿加倍补-电器大爆款报名</v>
          </cell>
          <cell r="L42" t="str">
            <v>百亿补贴</v>
          </cell>
        </row>
        <row r="43">
          <cell r="J43">
            <v>22181</v>
          </cell>
          <cell r="K43" t="str">
            <v>百亿加倍补-电器非爆款报名</v>
          </cell>
          <cell r="L43" t="str">
            <v>百亿补贴</v>
          </cell>
        </row>
        <row r="44">
          <cell r="J44">
            <v>22148</v>
          </cell>
          <cell r="K44" t="str">
            <v>百亿补贴-百亿加倍补-特定商品报名链接</v>
          </cell>
          <cell r="L44" t="str">
            <v>百亿补贴</v>
          </cell>
        </row>
        <row r="45">
          <cell r="J45">
            <v>23149</v>
          </cell>
          <cell r="K45" t="str">
            <v>平台官方活动-长期-搜索推荐专区</v>
          </cell>
          <cell r="L45" t="str">
            <v>大促搜索池</v>
          </cell>
        </row>
        <row r="46">
          <cell r="J46">
            <v>22258</v>
          </cell>
          <cell r="K46" t="str">
            <v>百亿补贴官补晋升自补</v>
          </cell>
          <cell r="L46" t="str">
            <v>百亿补贴</v>
          </cell>
        </row>
        <row r="47">
          <cell r="J47">
            <v>20453</v>
          </cell>
          <cell r="K47" t="str">
            <v>百亿补贴电器限时降价</v>
          </cell>
          <cell r="L47" t="str">
            <v>百亿补贴</v>
          </cell>
        </row>
        <row r="48">
          <cell r="J48">
            <v>21374</v>
          </cell>
          <cell r="K48" t="str">
            <v>平台官方活动-长期-搜索推荐专区</v>
          </cell>
          <cell r="L48" t="str">
            <v>大促搜索池</v>
          </cell>
        </row>
        <row r="49">
          <cell r="J49">
            <v>18425</v>
          </cell>
          <cell r="K49" t="str">
            <v>百补商家自主降价链接</v>
          </cell>
          <cell r="L49" t="str">
            <v>百亿补贴</v>
          </cell>
        </row>
        <row r="50">
          <cell r="J50">
            <v>18425</v>
          </cell>
          <cell r="K50" t="str">
            <v>百补商家自主降价链接</v>
          </cell>
          <cell r="L50" t="str">
            <v>百亿补贴</v>
          </cell>
        </row>
        <row r="51">
          <cell r="J51">
            <v>18425</v>
          </cell>
          <cell r="K51" t="str">
            <v>百补商家自主降价链接</v>
          </cell>
          <cell r="L51" t="str">
            <v>百亿补贴</v>
          </cell>
        </row>
        <row r="52">
          <cell r="J52">
            <v>18425</v>
          </cell>
          <cell r="K52" t="str">
            <v>百补商家自主降价链接</v>
          </cell>
          <cell r="L52" t="str">
            <v>百亿补贴</v>
          </cell>
        </row>
        <row r="53">
          <cell r="J53">
            <v>18425</v>
          </cell>
          <cell r="K53" t="str">
            <v>百补商家自主降价链接</v>
          </cell>
          <cell r="L53" t="str">
            <v>百亿补贴</v>
          </cell>
        </row>
        <row r="54">
          <cell r="J54">
            <v>18425</v>
          </cell>
          <cell r="K54" t="str">
            <v>百补商家自主降价链接</v>
          </cell>
          <cell r="L54" t="str">
            <v>百亿补贴</v>
          </cell>
        </row>
        <row r="55">
          <cell r="J55">
            <v>18425</v>
          </cell>
          <cell r="K55" t="str">
            <v>百补商家自主降价链接</v>
          </cell>
          <cell r="L55" t="str">
            <v>百亿补贴</v>
          </cell>
        </row>
        <row r="56">
          <cell r="J56">
            <v>23365</v>
          </cell>
          <cell r="K56" t="str">
            <v>月卡专享价—拼多多官方会员活动快速报名</v>
          </cell>
          <cell r="L56" t="str">
            <v>月卡会员活动</v>
          </cell>
        </row>
        <row r="57">
          <cell r="J57">
            <v>22148</v>
          </cell>
          <cell r="K57" t="str">
            <v>百亿补贴-百亿加倍补-特定商品报名链接</v>
          </cell>
          <cell r="L57" t="str">
            <v>百亿补贴</v>
          </cell>
        </row>
        <row r="58">
          <cell r="J58">
            <v>23531</v>
          </cell>
          <cell r="K58" t="str">
            <v>百亿补贴电器限时降价（97折入口）</v>
          </cell>
          <cell r="L58" t="str">
            <v>百亿补贴</v>
          </cell>
        </row>
        <row r="59">
          <cell r="J59">
            <v>22148</v>
          </cell>
          <cell r="K59" t="str">
            <v>百亿补贴-百亿加倍补-特定商品报名链接</v>
          </cell>
          <cell r="L59" t="str">
            <v>百亿补贴</v>
          </cell>
        </row>
        <row r="60">
          <cell r="J60">
            <v>10441</v>
          </cell>
          <cell r="K60" t="str">
            <v>百亿补贴报名入口</v>
          </cell>
          <cell r="L60" t="str">
            <v>百亿补贴</v>
          </cell>
        </row>
        <row r="61">
          <cell r="J61">
            <v>21374</v>
          </cell>
          <cell r="K61" t="str">
            <v>平台官方活动-长期-搜索推荐专区</v>
          </cell>
          <cell r="L61" t="str">
            <v>大促搜索池</v>
          </cell>
        </row>
        <row r="62">
          <cell r="J62">
            <v>18425</v>
          </cell>
          <cell r="K62" t="str">
            <v>百补商家自主降价链接</v>
          </cell>
          <cell r="L62" t="str">
            <v>百亿补贴</v>
          </cell>
        </row>
        <row r="63">
          <cell r="J63">
            <v>18425</v>
          </cell>
          <cell r="K63" t="str">
            <v>百补商家自主降价链接</v>
          </cell>
          <cell r="L63" t="str">
            <v>百亿补贴</v>
          </cell>
        </row>
        <row r="64">
          <cell r="J64">
            <v>21610</v>
          </cell>
          <cell r="K64" t="str">
            <v>平台官方大促-晋升长期活动报名</v>
          </cell>
          <cell r="L64" t="str">
            <v>大促搜索池</v>
          </cell>
        </row>
        <row r="65">
          <cell r="J65">
            <v>23620</v>
          </cell>
          <cell r="K65" t="str">
            <v>【10周年庆】-国庆中秋搜索推荐报名专区</v>
          </cell>
          <cell r="L65" t="str">
            <v>大促搜索池</v>
          </cell>
        </row>
        <row r="66">
          <cell r="J66">
            <v>21967</v>
          </cell>
          <cell r="K66" t="str">
            <v>【上首页】流量续航（极速审核）</v>
          </cell>
          <cell r="L66" t="str">
            <v>首页推荐专区</v>
          </cell>
        </row>
        <row r="67">
          <cell r="J67">
            <v>22148</v>
          </cell>
          <cell r="K67" t="str">
            <v>百亿补贴-百亿加倍补-特定商品报名链接</v>
          </cell>
          <cell r="L67" t="str">
            <v>百亿补贴</v>
          </cell>
        </row>
        <row r="68">
          <cell r="J68">
            <v>22148</v>
          </cell>
          <cell r="K68" t="str">
            <v>百亿补贴-百亿加倍补-特定商品报名链接</v>
          </cell>
          <cell r="L68" t="str">
            <v>百亿补贴</v>
          </cell>
        </row>
        <row r="69">
          <cell r="J69">
            <v>17987</v>
          </cell>
          <cell r="K69" t="str">
            <v>【精选首页】补贴秒杀品牌商品</v>
          </cell>
          <cell r="L69" t="str">
            <v>补贴秒杀</v>
          </cell>
        </row>
        <row r="70">
          <cell r="J70">
            <v>23079</v>
          </cell>
          <cell r="K70" t="str">
            <v>百亿补贴-品牌折扣专属活动入口（电器）</v>
          </cell>
          <cell r="L70" t="str">
            <v>百亿补贴</v>
          </cell>
        </row>
        <row r="71">
          <cell r="J71" t="str">
            <v>无</v>
          </cell>
          <cell r="K71" t="str">
            <v>无报名记录</v>
          </cell>
          <cell r="L71" t="str">
            <v>无</v>
          </cell>
        </row>
        <row r="72">
          <cell r="J72">
            <v>22180</v>
          </cell>
          <cell r="K72" t="str">
            <v>百亿加倍补-电器大爆款报名</v>
          </cell>
          <cell r="L72" t="str">
            <v>百亿补贴</v>
          </cell>
        </row>
        <row r="73">
          <cell r="J73">
            <v>22148</v>
          </cell>
          <cell r="K73" t="str">
            <v>百亿补贴-百亿加倍补-特定商品报名链接</v>
          </cell>
          <cell r="L73" t="str">
            <v>百亿补贴</v>
          </cell>
        </row>
        <row r="74">
          <cell r="J74">
            <v>21663</v>
          </cell>
          <cell r="K74" t="str">
            <v>【百亿消费券】单件折扣9折</v>
          </cell>
          <cell r="L74" t="str">
            <v>品牌清仓</v>
          </cell>
        </row>
        <row r="75">
          <cell r="J75">
            <v>21657</v>
          </cell>
          <cell r="K75" t="str">
            <v>【百亿消费券】活动长期报名链接</v>
          </cell>
          <cell r="L75" t="str">
            <v>品牌清仓</v>
          </cell>
        </row>
        <row r="76">
          <cell r="J76">
            <v>21581</v>
          </cell>
          <cell r="K76" t="str">
            <v>百亿补贴同价上首页</v>
          </cell>
          <cell r="L76" t="str">
            <v>百亿补贴同价上首页</v>
          </cell>
        </row>
        <row r="77">
          <cell r="J77">
            <v>10441</v>
          </cell>
          <cell r="K77" t="str">
            <v>百亿补贴报名入口</v>
          </cell>
          <cell r="L77" t="str">
            <v>百亿补贴</v>
          </cell>
        </row>
        <row r="78">
          <cell r="J78">
            <v>22496</v>
          </cell>
          <cell r="K78" t="str">
            <v>广告商品-大促专属报名通道</v>
          </cell>
          <cell r="L78" t="str">
            <v>大促搜索池</v>
          </cell>
        </row>
        <row r="79">
          <cell r="J79">
            <v>22148</v>
          </cell>
          <cell r="K79" t="str">
            <v>百亿补贴-百亿加倍补-特定商品报名链接</v>
          </cell>
          <cell r="L79" t="str">
            <v>百亿补贴</v>
          </cell>
        </row>
        <row r="80">
          <cell r="J80">
            <v>23079</v>
          </cell>
          <cell r="K80" t="str">
            <v>百亿补贴-品牌折扣专属活动入口（电器）</v>
          </cell>
          <cell r="L80" t="str">
            <v>百亿补贴</v>
          </cell>
        </row>
        <row r="81">
          <cell r="J81" t="str">
            <v>无</v>
          </cell>
          <cell r="K81" t="str">
            <v>无报名记录</v>
          </cell>
          <cell r="L81" t="str">
            <v>无</v>
          </cell>
        </row>
        <row r="82">
          <cell r="J82">
            <v>21374</v>
          </cell>
          <cell r="K82" t="str">
            <v>平台官方活动-长期-搜索推荐专区</v>
          </cell>
          <cell r="L82" t="str">
            <v>大促搜索池</v>
          </cell>
        </row>
        <row r="83">
          <cell r="J83">
            <v>22517</v>
          </cell>
          <cell r="K83" t="str">
            <v>同价享大促流量</v>
          </cell>
          <cell r="L83" t="str">
            <v>大促搜索池</v>
          </cell>
        </row>
        <row r="84">
          <cell r="J84">
            <v>22029</v>
          </cell>
          <cell r="K84" t="str">
            <v>同款商品竞价</v>
          </cell>
          <cell r="L84" t="str">
            <v>首页推荐专区</v>
          </cell>
        </row>
        <row r="85">
          <cell r="J85">
            <v>23637</v>
          </cell>
          <cell r="K85" t="str">
            <v>【直通11.11】10周年庆搜索推荐专区</v>
          </cell>
          <cell r="L85" t="str">
            <v>大促搜索池</v>
          </cell>
        </row>
        <row r="86">
          <cell r="J86">
            <v>21863</v>
          </cell>
          <cell r="K86" t="str">
            <v>官方大促-全店平日价降价1%报名</v>
          </cell>
          <cell r="L86" t="str">
            <v>大促搜索池</v>
          </cell>
        </row>
        <row r="87">
          <cell r="J87">
            <v>21610</v>
          </cell>
          <cell r="K87" t="str">
            <v>平台官方大促-晋升长期活动报名</v>
          </cell>
          <cell r="L87" t="str">
            <v>大促搜索池</v>
          </cell>
        </row>
        <row r="88">
          <cell r="J88">
            <v>23620</v>
          </cell>
          <cell r="K88" t="str">
            <v>【10周年庆】-国庆中秋搜索推荐报名专区</v>
          </cell>
          <cell r="L88" t="str">
            <v>大促搜索池</v>
          </cell>
        </row>
        <row r="89">
          <cell r="J89">
            <v>17987</v>
          </cell>
          <cell r="K89" t="str">
            <v>【精选首页】补贴秒杀品牌商品</v>
          </cell>
          <cell r="L89" t="str">
            <v>补贴秒杀</v>
          </cell>
        </row>
        <row r="90">
          <cell r="J90">
            <v>23149</v>
          </cell>
          <cell r="K90" t="str">
            <v>平台官方活动-长期-搜索推荐专区</v>
          </cell>
          <cell r="L90" t="str">
            <v>大促搜索池</v>
          </cell>
        </row>
        <row r="91">
          <cell r="J91">
            <v>21657</v>
          </cell>
          <cell r="K91" t="str">
            <v>【百亿消费券】活动长期报名链接</v>
          </cell>
          <cell r="L91" t="str">
            <v>品牌清仓</v>
          </cell>
        </row>
        <row r="92">
          <cell r="J92">
            <v>22180</v>
          </cell>
          <cell r="K92" t="str">
            <v>百亿加倍补-电器大爆款报名</v>
          </cell>
          <cell r="L92" t="str">
            <v>百亿补贴</v>
          </cell>
        </row>
        <row r="93">
          <cell r="J93">
            <v>20246</v>
          </cell>
          <cell r="K93" t="str">
            <v>百亿补贴报名入口(多人团)-知名品牌</v>
          </cell>
          <cell r="L93" t="str">
            <v>百亿补贴</v>
          </cell>
        </row>
        <row r="94">
          <cell r="J94" t="str">
            <v>无</v>
          </cell>
          <cell r="K94" t="str">
            <v>无报名记录</v>
          </cell>
          <cell r="L94" t="str">
            <v>无</v>
          </cell>
        </row>
        <row r="95">
          <cell r="J95">
            <v>20981</v>
          </cell>
          <cell r="K95" t="str">
            <v>【10周年庆】20981长期报名入口</v>
          </cell>
          <cell r="L95" t="str">
            <v>大促搜索池</v>
          </cell>
        </row>
        <row r="96">
          <cell r="J96">
            <v>22827</v>
          </cell>
          <cell r="K96" t="str">
            <v>百亿补贴报名入口-政府补贴（快速通道）</v>
          </cell>
          <cell r="L96" t="str">
            <v>百亿补贴</v>
          </cell>
        </row>
        <row r="97">
          <cell r="J97">
            <v>22827</v>
          </cell>
          <cell r="K97" t="str">
            <v>百亿补贴报名入口-政府补贴（快速通道）</v>
          </cell>
          <cell r="L97" t="str">
            <v>百亿补贴</v>
          </cell>
        </row>
        <row r="98">
          <cell r="J98">
            <v>22827</v>
          </cell>
          <cell r="K98" t="str">
            <v>百亿补贴报名入口-政府补贴（快速通道）</v>
          </cell>
          <cell r="L98" t="str">
            <v>百亿补贴</v>
          </cell>
        </row>
        <row r="99">
          <cell r="J99" t="str">
            <v>无</v>
          </cell>
          <cell r="K99" t="str">
            <v>无报名记录</v>
          </cell>
          <cell r="L99" t="str">
            <v>无</v>
          </cell>
        </row>
        <row r="100">
          <cell r="J100">
            <v>18425</v>
          </cell>
          <cell r="K100" t="str">
            <v>百补商家自主降价链接</v>
          </cell>
          <cell r="L100" t="str">
            <v>百亿补贴</v>
          </cell>
        </row>
        <row r="101">
          <cell r="J101">
            <v>21374</v>
          </cell>
          <cell r="K101" t="str">
            <v>平台官方活动-长期-搜索推荐专区</v>
          </cell>
          <cell r="L101" t="str">
            <v>大促搜索池</v>
          </cell>
        </row>
        <row r="102">
          <cell r="J102">
            <v>18425</v>
          </cell>
          <cell r="K102" t="str">
            <v>百补商家自主降价链接</v>
          </cell>
          <cell r="L102" t="str">
            <v>百亿补贴</v>
          </cell>
        </row>
        <row r="103">
          <cell r="J103">
            <v>18425</v>
          </cell>
          <cell r="K103" t="str">
            <v>百补商家自主降价链接</v>
          </cell>
          <cell r="L103" t="str">
            <v>百亿补贴</v>
          </cell>
        </row>
        <row r="104">
          <cell r="J104">
            <v>18425</v>
          </cell>
          <cell r="K104" t="str">
            <v>百补商家自主降价链接</v>
          </cell>
          <cell r="L104" t="str">
            <v>百亿补贴</v>
          </cell>
        </row>
        <row r="105">
          <cell r="J105">
            <v>21581</v>
          </cell>
          <cell r="K105" t="str">
            <v>百亿补贴同价上首页</v>
          </cell>
          <cell r="L105" t="str">
            <v>百亿补贴同价上首页</v>
          </cell>
        </row>
        <row r="106">
          <cell r="J106">
            <v>10441</v>
          </cell>
          <cell r="K106" t="str">
            <v>百亿补贴报名入口</v>
          </cell>
          <cell r="L106" t="str">
            <v>百亿补贴</v>
          </cell>
        </row>
        <row r="107">
          <cell r="J107" t="str">
            <v>无</v>
          </cell>
          <cell r="K107" t="str">
            <v>无报名记录</v>
          </cell>
          <cell r="L107" t="str">
            <v>无</v>
          </cell>
        </row>
        <row r="108">
          <cell r="J108" t="str">
            <v>无</v>
          </cell>
          <cell r="K108" t="str">
            <v>无报名记录</v>
          </cell>
          <cell r="L108" t="str">
            <v>无</v>
          </cell>
        </row>
        <row r="109">
          <cell r="J109">
            <v>21967</v>
          </cell>
          <cell r="K109" t="str">
            <v>【上首页】流量续航（极速审核）</v>
          </cell>
          <cell r="L109" t="str">
            <v>首页推荐专区</v>
          </cell>
        </row>
        <row r="110">
          <cell r="J110">
            <v>21610</v>
          </cell>
          <cell r="K110" t="str">
            <v>平台官方大促-晋升长期活动报名</v>
          </cell>
          <cell r="L110" t="str">
            <v>大促搜索池</v>
          </cell>
        </row>
        <row r="111">
          <cell r="J111">
            <v>23620</v>
          </cell>
          <cell r="K111" t="str">
            <v>【10周年庆】-国庆中秋搜索推荐报名专区</v>
          </cell>
          <cell r="L111" t="str">
            <v>大促搜索池</v>
          </cell>
        </row>
        <row r="112">
          <cell r="J112">
            <v>23149</v>
          </cell>
          <cell r="K112" t="str">
            <v>平台官方活动-长期-搜索推荐专区</v>
          </cell>
          <cell r="L112" t="str">
            <v>大促搜索池</v>
          </cell>
        </row>
        <row r="113">
          <cell r="J113">
            <v>21967</v>
          </cell>
          <cell r="K113" t="str">
            <v>【上首页】流量续航（极速审核）</v>
          </cell>
          <cell r="L113" t="str">
            <v>首页推荐专区</v>
          </cell>
        </row>
        <row r="114">
          <cell r="J114" t="str">
            <v>无</v>
          </cell>
          <cell r="K114" t="str">
            <v>无报名记录</v>
          </cell>
          <cell r="L114" t="str">
            <v>无</v>
          </cell>
        </row>
        <row r="115">
          <cell r="J115">
            <v>23149</v>
          </cell>
          <cell r="K115" t="str">
            <v>平台官方活动-长期-搜索推荐专区</v>
          </cell>
          <cell r="L115" t="str">
            <v>大促搜索池</v>
          </cell>
        </row>
        <row r="116">
          <cell r="J116">
            <v>21967</v>
          </cell>
          <cell r="K116" t="str">
            <v>【上首页】流量续航（极速审核）</v>
          </cell>
          <cell r="L116" t="str">
            <v>首页推荐专区</v>
          </cell>
        </row>
        <row r="117">
          <cell r="J117">
            <v>23581</v>
          </cell>
          <cell r="K117" t="str">
            <v>百亿补贴报名入口-全国活动</v>
          </cell>
          <cell r="L117" t="str">
            <v>百亿补贴</v>
          </cell>
        </row>
        <row r="118">
          <cell r="J118">
            <v>21581</v>
          </cell>
          <cell r="K118" t="str">
            <v>百亿补贴同价上首页</v>
          </cell>
          <cell r="L118" t="str">
            <v>百亿补贴同价上首页</v>
          </cell>
        </row>
        <row r="119">
          <cell r="J119">
            <v>18425</v>
          </cell>
          <cell r="K119" t="str">
            <v>百补商家自主降价链接</v>
          </cell>
          <cell r="L119" t="str">
            <v>百亿补贴</v>
          </cell>
        </row>
        <row r="120">
          <cell r="J120">
            <v>18425</v>
          </cell>
          <cell r="K120" t="str">
            <v>百补商家自主降价链接</v>
          </cell>
          <cell r="L120" t="str">
            <v>百亿补贴</v>
          </cell>
        </row>
        <row r="121">
          <cell r="J121">
            <v>18425</v>
          </cell>
          <cell r="K121" t="str">
            <v>百补商家自主降价链接</v>
          </cell>
          <cell r="L121" t="str">
            <v>百亿补贴</v>
          </cell>
        </row>
        <row r="122">
          <cell r="J122">
            <v>22148</v>
          </cell>
          <cell r="K122" t="str">
            <v>百亿补贴-百亿加倍补-特定商品报名链接</v>
          </cell>
          <cell r="L122" t="str">
            <v>百亿补贴</v>
          </cell>
        </row>
        <row r="123">
          <cell r="J123">
            <v>22148</v>
          </cell>
          <cell r="K123" t="str">
            <v>百亿补贴-百亿加倍补-特定商品报名链接</v>
          </cell>
          <cell r="L123" t="str">
            <v>百亿补贴</v>
          </cell>
        </row>
        <row r="124">
          <cell r="J124">
            <v>17987</v>
          </cell>
          <cell r="K124" t="str">
            <v>【精选首页】补贴秒杀品牌商品</v>
          </cell>
          <cell r="L124" t="str">
            <v>补贴秒杀</v>
          </cell>
        </row>
        <row r="125">
          <cell r="J125">
            <v>23581</v>
          </cell>
          <cell r="K125" t="str">
            <v>百亿补贴报名入口-全国活动</v>
          </cell>
          <cell r="L125" t="str">
            <v>百亿补贴</v>
          </cell>
        </row>
        <row r="126">
          <cell r="J126">
            <v>10441</v>
          </cell>
          <cell r="K126" t="str">
            <v>百亿补贴报名入口</v>
          </cell>
          <cell r="L126" t="str">
            <v>百亿补贴</v>
          </cell>
        </row>
        <row r="127">
          <cell r="J127">
            <v>19906</v>
          </cell>
          <cell r="K127" t="str">
            <v>百亿补贴报名入口【极速审核】-指定类目</v>
          </cell>
          <cell r="L127" t="str">
            <v>百亿补贴</v>
          </cell>
        </row>
        <row r="128">
          <cell r="J128">
            <v>10441</v>
          </cell>
          <cell r="K128" t="str">
            <v>百亿补贴报名入口</v>
          </cell>
          <cell r="L128" t="str">
            <v>百亿补贴</v>
          </cell>
        </row>
        <row r="129">
          <cell r="J129" t="str">
            <v>无</v>
          </cell>
          <cell r="K129" t="str">
            <v>无报名记录</v>
          </cell>
          <cell r="L129" t="str">
            <v>无</v>
          </cell>
        </row>
        <row r="130">
          <cell r="J130">
            <v>22827</v>
          </cell>
          <cell r="K130" t="str">
            <v>百亿补贴报名入口-政府补贴（快速通道）</v>
          </cell>
          <cell r="L130" t="str">
            <v>百亿补贴</v>
          </cell>
        </row>
        <row r="131">
          <cell r="J131">
            <v>22496</v>
          </cell>
          <cell r="K131" t="str">
            <v>广告商品-大促专属报名通道</v>
          </cell>
          <cell r="L131" t="str">
            <v>大促搜索池</v>
          </cell>
        </row>
        <row r="132">
          <cell r="J132">
            <v>21374</v>
          </cell>
          <cell r="K132" t="str">
            <v>平台官方活动-长期-搜索推荐专区</v>
          </cell>
          <cell r="L132" t="str">
            <v>大促搜索池</v>
          </cell>
        </row>
        <row r="133">
          <cell r="J133">
            <v>21374</v>
          </cell>
          <cell r="K133" t="str">
            <v>平台官方活动-长期-搜索推荐专区</v>
          </cell>
          <cell r="L133" t="str">
            <v>大促搜索池</v>
          </cell>
        </row>
        <row r="134">
          <cell r="J134">
            <v>22827</v>
          </cell>
          <cell r="K134" t="str">
            <v>百亿补贴报名入口-政府补贴（快速通道）</v>
          </cell>
          <cell r="L134" t="str">
            <v>百亿补贴</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66108B-9125-4BF1-88A0-729AA48ABBE9}" name="表1" displayName="表1" ref="A1:D11" totalsRowShown="0" headerRowDxfId="19" dataDxfId="18" tableBorderDxfId="17">
  <autoFilter ref="A1:D11" xr:uid="{7C66108B-9125-4BF1-88A0-729AA48ABBE9}"/>
  <tableColumns count="4">
    <tableColumn id="1" xr3:uid="{4600A779-1982-4B58-9BDC-0F5231A3DAE9}" name="序号" dataDxfId="16"/>
    <tableColumn id="2" xr3:uid="{126B78D2-BC04-4DD0-B453-C12088A5E7C7}" name="店铺" dataDxfId="15"/>
    <tableColumn id="3" xr3:uid="{9C7593D8-2768-45D6-9537-B43E1AB361BF}" name="备注" dataDxfId="14"/>
    <tableColumn id="4" xr3:uid="{F70042B9-73E2-42D2-8CA4-C43CBDE4143B}" name="百亿链接"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15E3F1-1490-4AEF-A473-60E6369322B2}" name="表2" displayName="表2" ref="A1:J23" totalsRowShown="0" headerRowDxfId="12" dataDxfId="11">
  <autoFilter ref="A1:J23" xr:uid="{9001CAD8-13D2-4F87-BD57-C0F188CF5712}"/>
  <sortState xmlns:xlrd2="http://schemas.microsoft.com/office/spreadsheetml/2017/richdata2" ref="A9:J20">
    <sortCondition ref="B1:B23"/>
  </sortState>
  <tableColumns count="10">
    <tableColumn id="1" xr3:uid="{F07F601B-2BD8-42C8-B489-2389048FDE0F}" name="序号" dataDxfId="10"/>
    <tableColumn id="2" xr3:uid="{C68C531B-C719-4E63-9361-D6DABFA5C954}" name="别名" dataDxfId="9"/>
    <tableColumn id="3" xr3:uid="{EA2B24AD-1DE3-4A50-997F-04E6A0E954C0}" name="商品ID" dataDxfId="8"/>
    <tableColumn id="4" xr3:uid="{8D62DAB4-C141-4C40-901F-4A8BED761266}" name="69码" dataDxfId="7"/>
    <tableColumn id="9" xr3:uid="{468C95D1-167B-4B7E-8FDE-D27ED293454D}" name="平台ID" dataDxfId="6"/>
    <tableColumn id="10" xr3:uid="{187BB443-3BA4-4D56-BBA4-C498BBCA928D}" name="物料编码" dataDxfId="5"/>
    <tableColumn id="5" xr3:uid="{3F7CCBC8-B752-45F2-BF8D-3BFFDD0067EB}" name="券前价(元)" dataDxfId="4" dataCellStyle="千位分隔"/>
    <tableColumn id="6" xr3:uid="{CF0F150D-58B1-4DB2-BFCD-89582367F266}" name="活动类型" dataDxfId="3"/>
    <tableColumn id="7" xr3:uid="{49B4E577-3287-4460-BA35-CFD500FF0C72}" name="标准名称" dataDxfId="2"/>
    <tableColumn id="8" xr3:uid="{324E452F-8D9C-40ED-9832-33B2664A2A15}" name="标注型号"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tem.jd.com/10176532354348.html" TargetMode="External"/><Relationship Id="rId13" Type="http://schemas.openxmlformats.org/officeDocument/2006/relationships/hyperlink" Target="https://item.jd.com/10154924051316.html" TargetMode="External"/><Relationship Id="rId18" Type="http://schemas.openxmlformats.org/officeDocument/2006/relationships/hyperlink" Target="https://item.jd.com/10160574645837.html" TargetMode="External"/><Relationship Id="rId26" Type="http://schemas.openxmlformats.org/officeDocument/2006/relationships/hyperlink" Target="https://detail.tmall.com/item.htm?abbucket=6&amp;id=903302245833" TargetMode="External"/><Relationship Id="rId39" Type="http://schemas.openxmlformats.org/officeDocument/2006/relationships/hyperlink" Target="https://item.taobao.com/item.htm?id=100193748406" TargetMode="External"/><Relationship Id="rId3" Type="http://schemas.openxmlformats.org/officeDocument/2006/relationships/hyperlink" Target="https://item.jd.com/10176929301628.html" TargetMode="External"/><Relationship Id="rId21" Type="http://schemas.openxmlformats.org/officeDocument/2006/relationships/hyperlink" Target="https://item.jd.com/10174391123368.html" TargetMode="External"/><Relationship Id="rId34" Type="http://schemas.openxmlformats.org/officeDocument/2006/relationships/hyperlink" Target="https://item.taobao.com/item.htm?abbucket=6&amp;id=966962419360" TargetMode="External"/><Relationship Id="rId7" Type="http://schemas.openxmlformats.org/officeDocument/2006/relationships/hyperlink" Target="https://item.jd.com/10154923901427.html" TargetMode="External"/><Relationship Id="rId12" Type="http://schemas.openxmlformats.org/officeDocument/2006/relationships/hyperlink" Target="https://item.jd.com/10151813991756.html" TargetMode="External"/><Relationship Id="rId17" Type="http://schemas.openxmlformats.org/officeDocument/2006/relationships/hyperlink" Target="https://item.jd.com/10158868397265.html" TargetMode="External"/><Relationship Id="rId25" Type="http://schemas.openxmlformats.org/officeDocument/2006/relationships/hyperlink" Target="https://detail.tmall.com/item.htm?abbucket=6&amp;id=966586883102" TargetMode="External"/><Relationship Id="rId33" Type="http://schemas.openxmlformats.org/officeDocument/2006/relationships/hyperlink" Target="https://item.taobao.com/item.htm?abbucket=6&amp;id=968693814535" TargetMode="External"/><Relationship Id="rId38" Type="http://schemas.openxmlformats.org/officeDocument/2006/relationships/hyperlink" Target="https://item.taobao.com/item.htm?id=671890389960" TargetMode="External"/><Relationship Id="rId2" Type="http://schemas.openxmlformats.org/officeDocument/2006/relationships/hyperlink" Target="https://item.jd.com/10183913655778.html" TargetMode="External"/><Relationship Id="rId16" Type="http://schemas.openxmlformats.org/officeDocument/2006/relationships/hyperlink" Target="https://item.jd.com/10161973177131.html" TargetMode="External"/><Relationship Id="rId20" Type="http://schemas.openxmlformats.org/officeDocument/2006/relationships/hyperlink" Target="https://item.jd.com/10175125787008.html" TargetMode="External"/><Relationship Id="rId29" Type="http://schemas.openxmlformats.org/officeDocument/2006/relationships/hyperlink" Target="https://item.taobao.com/item.htm?abbucket=6&amp;id=968710295649" TargetMode="External"/><Relationship Id="rId1" Type="http://schemas.openxmlformats.org/officeDocument/2006/relationships/hyperlink" Target="https://item.jd.com/10176566189735.html" TargetMode="External"/><Relationship Id="rId6" Type="http://schemas.openxmlformats.org/officeDocument/2006/relationships/hyperlink" Target="https://item.jd.com/10160574648642.html" TargetMode="External"/><Relationship Id="rId11" Type="http://schemas.openxmlformats.org/officeDocument/2006/relationships/hyperlink" Target="https://item.jd.com/10176532354349.html" TargetMode="External"/><Relationship Id="rId24" Type="http://schemas.openxmlformats.org/officeDocument/2006/relationships/hyperlink" Target="https://detail.tmall.com/item.htm?abbucket=6&amp;id=969775508289" TargetMode="External"/><Relationship Id="rId32" Type="http://schemas.openxmlformats.org/officeDocument/2006/relationships/hyperlink" Target="https://item.taobao.com/item.htm?abbucket=6&amp;id=968165577450" TargetMode="External"/><Relationship Id="rId37" Type="http://schemas.openxmlformats.org/officeDocument/2006/relationships/hyperlink" Target="https://item.jd.com/100113886253.html" TargetMode="External"/><Relationship Id="rId40" Type="http://schemas.openxmlformats.org/officeDocument/2006/relationships/printerSettings" Target="../printerSettings/printerSettings1.bin"/><Relationship Id="rId5" Type="http://schemas.openxmlformats.org/officeDocument/2006/relationships/hyperlink" Target="https://item.jd.com/10175706195522.html" TargetMode="External"/><Relationship Id="rId15" Type="http://schemas.openxmlformats.org/officeDocument/2006/relationships/hyperlink" Target="https://item.jd.com/10165919251111.html" TargetMode="External"/><Relationship Id="rId23" Type="http://schemas.openxmlformats.org/officeDocument/2006/relationships/hyperlink" Target="https://detail.tmall.com/item.htm?abbucket=6&amp;id=899913391731" TargetMode="External"/><Relationship Id="rId28" Type="http://schemas.openxmlformats.org/officeDocument/2006/relationships/hyperlink" Target="https://detail.tmall.com/item.htm?abbucket=6&amp;id=892586096033" TargetMode="External"/><Relationship Id="rId36" Type="http://schemas.openxmlformats.org/officeDocument/2006/relationships/hyperlink" Target="https://item.taobao.com/item.htm?id=902116631708" TargetMode="External"/><Relationship Id="rId10" Type="http://schemas.openxmlformats.org/officeDocument/2006/relationships/hyperlink" Target="https://item.jd.com/10176559768031.html" TargetMode="External"/><Relationship Id="rId19" Type="http://schemas.openxmlformats.org/officeDocument/2006/relationships/hyperlink" Target="https://item.jd.com/10167896978716.html" TargetMode="External"/><Relationship Id="rId31" Type="http://schemas.openxmlformats.org/officeDocument/2006/relationships/hyperlink" Target="https://item.taobao.com/item.htm?abbucket=6&amp;id=968196115574" TargetMode="External"/><Relationship Id="rId4" Type="http://schemas.openxmlformats.org/officeDocument/2006/relationships/hyperlink" Target="https://item.jd.com/10183906956002.html" TargetMode="External"/><Relationship Id="rId9" Type="http://schemas.openxmlformats.org/officeDocument/2006/relationships/hyperlink" Target="https://item.jd.com/10167658224082.html" TargetMode="External"/><Relationship Id="rId14" Type="http://schemas.openxmlformats.org/officeDocument/2006/relationships/hyperlink" Target="https://item.jd.com/10160957796277.html" TargetMode="External"/><Relationship Id="rId22" Type="http://schemas.openxmlformats.org/officeDocument/2006/relationships/hyperlink" Target="https://item.taobao.com/item.htm?abbucket=6&amp;id=900326079325" TargetMode="External"/><Relationship Id="rId27" Type="http://schemas.openxmlformats.org/officeDocument/2006/relationships/hyperlink" Target="https://item.taobao.com/item.htm?abbucket=6&amp;id=969161025713" TargetMode="External"/><Relationship Id="rId30" Type="http://schemas.openxmlformats.org/officeDocument/2006/relationships/hyperlink" Target="https://item.taobao.com/item.htm?abbucket=6&amp;id=850605001397" TargetMode="External"/><Relationship Id="rId35" Type="http://schemas.openxmlformats.org/officeDocument/2006/relationships/hyperlink" Target="https://item.taobao.com/item.htm?abbucket=6&amp;id=968133433761"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obile.yangkeduo.com/goods.html?goods_id=825622769619"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mms.pinduoduo.com/act/detail?id=23550" TargetMode="External"/><Relationship Id="rId2" Type="http://schemas.openxmlformats.org/officeDocument/2006/relationships/hyperlink" Target="https://mms.pinduoduo.com/act/detail?id=22660" TargetMode="External"/><Relationship Id="rId1" Type="http://schemas.openxmlformats.org/officeDocument/2006/relationships/hyperlink" Target="https://mms.pinduoduo.com/act/detail?id=584" TargetMode="External"/><Relationship Id="rId4" Type="http://schemas.openxmlformats.org/officeDocument/2006/relationships/hyperlink" Target="https://mms.pinduoduo.com/act/detail?id=4534"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detail.tmall.com/item.htm?id=899913391731&amp;skuId=5985824424967" TargetMode="External"/><Relationship Id="rId2" Type="http://schemas.openxmlformats.org/officeDocument/2006/relationships/hyperlink" Target="https://detail.tmall.com/item.htm?id=899913391731&amp;skuId=5985824424966" TargetMode="External"/><Relationship Id="rId1" Type="http://schemas.openxmlformats.org/officeDocument/2006/relationships/hyperlink" Target="https://detail.tmall.com/item.htm?id=899913391731&amp;skuId=5985824424965" TargetMode="External"/><Relationship Id="rId4" Type="http://schemas.openxmlformats.org/officeDocument/2006/relationships/hyperlink" Target="https://detail.tmall.com/item.htm?id=899913391731&amp;skuId=5985824424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opLeftCell="A10" workbookViewId="0">
      <selection activeCell="C41" sqref="C41"/>
    </sheetView>
  </sheetViews>
  <sheetFormatPr defaultColWidth="9" defaultRowHeight="13.5"/>
  <cols>
    <col min="1" max="1" width="10.75" customWidth="1"/>
    <col min="2" max="2" width="16.625" customWidth="1"/>
    <col min="3" max="3" width="30.375" customWidth="1"/>
    <col min="4" max="4" width="50.875" customWidth="1"/>
    <col min="5" max="5" width="16.125" bestFit="1" customWidth="1"/>
    <col min="6" max="6" width="18.125" bestFit="1" customWidth="1"/>
    <col min="7" max="7" width="15" bestFit="1" customWidth="1"/>
  </cols>
  <sheetData>
    <row r="1" spans="1:6">
      <c r="A1" s="1" t="s">
        <v>0</v>
      </c>
      <c r="B1" s="1" t="s">
        <v>1</v>
      </c>
      <c r="C1" s="1" t="s">
        <v>2</v>
      </c>
      <c r="D1" s="1" t="s">
        <v>3</v>
      </c>
      <c r="E1" s="1" t="s">
        <v>4</v>
      </c>
      <c r="F1" s="1" t="s">
        <v>41</v>
      </c>
    </row>
    <row r="2" spans="1:6">
      <c r="A2" s="7" t="s">
        <v>615</v>
      </c>
      <c r="B2" s="9" t="s">
        <v>45</v>
      </c>
      <c r="C2" t="s">
        <v>51</v>
      </c>
      <c r="D2" s="10" t="s">
        <v>617</v>
      </c>
      <c r="F2" s="7" t="s">
        <v>42</v>
      </c>
    </row>
    <row r="3" spans="1:6">
      <c r="A3" s="7" t="s">
        <v>615</v>
      </c>
      <c r="B3" s="9" t="s">
        <v>45</v>
      </c>
      <c r="C3" t="s">
        <v>51</v>
      </c>
      <c r="D3" s="10" t="s">
        <v>618</v>
      </c>
      <c r="F3" s="7" t="s">
        <v>42</v>
      </c>
    </row>
    <row r="4" spans="1:6">
      <c r="A4" s="7" t="s">
        <v>615</v>
      </c>
      <c r="B4" s="9" t="s">
        <v>45</v>
      </c>
      <c r="C4" t="s">
        <v>51</v>
      </c>
      <c r="D4" s="10" t="s">
        <v>619</v>
      </c>
      <c r="F4" s="7" t="s">
        <v>42</v>
      </c>
    </row>
    <row r="5" spans="1:6">
      <c r="A5" s="7" t="s">
        <v>615</v>
      </c>
      <c r="B5" s="9" t="s">
        <v>45</v>
      </c>
      <c r="C5" t="s">
        <v>51</v>
      </c>
      <c r="D5" s="10" t="s">
        <v>620</v>
      </c>
      <c r="F5" s="7" t="s">
        <v>42</v>
      </c>
    </row>
    <row r="6" spans="1:6">
      <c r="A6" s="7" t="s">
        <v>615</v>
      </c>
      <c r="B6" s="9" t="s">
        <v>45</v>
      </c>
      <c r="C6" t="s">
        <v>51</v>
      </c>
      <c r="D6" s="10" t="s">
        <v>621</v>
      </c>
      <c r="F6" s="7" t="s">
        <v>42</v>
      </c>
    </row>
    <row r="7" spans="1:6">
      <c r="A7" s="7" t="s">
        <v>615</v>
      </c>
      <c r="B7" s="9" t="s">
        <v>45</v>
      </c>
      <c r="C7" t="s">
        <v>51</v>
      </c>
      <c r="D7" s="10" t="s">
        <v>622</v>
      </c>
      <c r="F7" s="7" t="s">
        <v>42</v>
      </c>
    </row>
    <row r="8" spans="1:6">
      <c r="A8" s="7" t="s">
        <v>615</v>
      </c>
      <c r="B8" s="9" t="s">
        <v>45</v>
      </c>
      <c r="C8" t="s">
        <v>51</v>
      </c>
      <c r="D8" s="10" t="s">
        <v>623</v>
      </c>
      <c r="F8" s="7" t="s">
        <v>42</v>
      </c>
    </row>
    <row r="9" spans="1:6">
      <c r="A9" s="7" t="s">
        <v>615</v>
      </c>
      <c r="B9" s="9" t="s">
        <v>43</v>
      </c>
      <c r="C9" t="s">
        <v>626</v>
      </c>
      <c r="D9" s="10" t="s">
        <v>624</v>
      </c>
      <c r="F9" s="7" t="s">
        <v>42</v>
      </c>
    </row>
    <row r="10" spans="1:6">
      <c r="A10" s="7" t="s">
        <v>615</v>
      </c>
      <c r="B10" s="9" t="s">
        <v>43</v>
      </c>
      <c r="C10" t="s">
        <v>626</v>
      </c>
      <c r="D10" s="10" t="s">
        <v>634</v>
      </c>
      <c r="F10" s="7" t="s">
        <v>42</v>
      </c>
    </row>
    <row r="11" spans="1:6">
      <c r="A11" s="7" t="s">
        <v>615</v>
      </c>
      <c r="B11" s="9" t="s">
        <v>43</v>
      </c>
      <c r="C11" t="s">
        <v>626</v>
      </c>
      <c r="D11" s="10" t="s">
        <v>635</v>
      </c>
      <c r="F11" s="7" t="s">
        <v>42</v>
      </c>
    </row>
    <row r="12" spans="1:6">
      <c r="A12" s="7" t="s">
        <v>615</v>
      </c>
      <c r="B12" s="9" t="s">
        <v>43</v>
      </c>
      <c r="C12" t="s">
        <v>626</v>
      </c>
      <c r="D12" s="10" t="s">
        <v>636</v>
      </c>
      <c r="F12" s="7" t="s">
        <v>42</v>
      </c>
    </row>
    <row r="13" spans="1:6">
      <c r="A13" s="7" t="s">
        <v>615</v>
      </c>
      <c r="B13" s="9" t="s">
        <v>43</v>
      </c>
      <c r="C13" t="s">
        <v>626</v>
      </c>
      <c r="D13" s="10" t="s">
        <v>637</v>
      </c>
      <c r="F13" s="7" t="s">
        <v>42</v>
      </c>
    </row>
    <row r="14" spans="1:6">
      <c r="A14" s="7" t="s">
        <v>615</v>
      </c>
      <c r="B14" s="9" t="s">
        <v>43</v>
      </c>
      <c r="C14" t="s">
        <v>626</v>
      </c>
      <c r="D14" s="10" t="s">
        <v>638</v>
      </c>
      <c r="F14" s="7" t="s">
        <v>42</v>
      </c>
    </row>
    <row r="15" spans="1:6">
      <c r="A15" s="7" t="s">
        <v>615</v>
      </c>
      <c r="B15" s="9" t="s">
        <v>43</v>
      </c>
      <c r="C15" t="s">
        <v>626</v>
      </c>
      <c r="D15" s="10" t="s">
        <v>639</v>
      </c>
      <c r="F15" s="7" t="s">
        <v>42</v>
      </c>
    </row>
    <row r="16" spans="1:6">
      <c r="A16" s="7" t="s">
        <v>615</v>
      </c>
      <c r="B16" s="9" t="s">
        <v>43</v>
      </c>
      <c r="C16" t="s">
        <v>626</v>
      </c>
      <c r="D16" s="10" t="s">
        <v>640</v>
      </c>
      <c r="F16" s="7" t="s">
        <v>42</v>
      </c>
    </row>
    <row r="17" spans="1:6">
      <c r="A17" s="7" t="s">
        <v>615</v>
      </c>
      <c r="B17" s="9" t="s">
        <v>43</v>
      </c>
      <c r="C17" t="s">
        <v>626</v>
      </c>
      <c r="D17" s="10" t="s">
        <v>641</v>
      </c>
      <c r="F17" s="7" t="s">
        <v>42</v>
      </c>
    </row>
    <row r="18" spans="1:6">
      <c r="A18" s="7" t="s">
        <v>615</v>
      </c>
      <c r="B18" s="9" t="s">
        <v>43</v>
      </c>
      <c r="C18" t="s">
        <v>626</v>
      </c>
      <c r="D18" s="10" t="s">
        <v>642</v>
      </c>
      <c r="F18" s="7" t="s">
        <v>42</v>
      </c>
    </row>
    <row r="19" spans="1:6">
      <c r="A19" s="7" t="s">
        <v>615</v>
      </c>
      <c r="B19" s="9" t="s">
        <v>43</v>
      </c>
      <c r="C19" t="s">
        <v>626</v>
      </c>
      <c r="D19" s="10" t="s">
        <v>643</v>
      </c>
      <c r="F19" s="7" t="s">
        <v>42</v>
      </c>
    </row>
    <row r="20" spans="1:6">
      <c r="A20" s="7" t="s">
        <v>615</v>
      </c>
      <c r="B20" s="9" t="s">
        <v>43</v>
      </c>
      <c r="C20" t="s">
        <v>626</v>
      </c>
      <c r="D20" s="10" t="s">
        <v>644</v>
      </c>
      <c r="F20" s="7" t="s">
        <v>42</v>
      </c>
    </row>
    <row r="21" spans="1:6">
      <c r="A21" s="7" t="s">
        <v>615</v>
      </c>
      <c r="B21" s="9" t="s">
        <v>43</v>
      </c>
      <c r="C21" t="s">
        <v>626</v>
      </c>
      <c r="D21" s="10" t="s">
        <v>645</v>
      </c>
      <c r="F21" s="7" t="s">
        <v>42</v>
      </c>
    </row>
    <row r="22" spans="1:6">
      <c r="A22" s="7" t="s">
        <v>615</v>
      </c>
      <c r="B22" s="9" t="s">
        <v>43</v>
      </c>
      <c r="C22" t="s">
        <v>626</v>
      </c>
      <c r="D22" s="10" t="s">
        <v>646</v>
      </c>
      <c r="F22" s="7" t="s">
        <v>42</v>
      </c>
    </row>
    <row r="23" spans="1:6">
      <c r="A23" s="7" t="s">
        <v>661</v>
      </c>
      <c r="B23" s="9" t="s">
        <v>43</v>
      </c>
      <c r="C23" t="s">
        <v>626</v>
      </c>
      <c r="D23" s="10" t="s">
        <v>647</v>
      </c>
      <c r="F23" s="7" t="s">
        <v>42</v>
      </c>
    </row>
    <row r="24" spans="1:6">
      <c r="A24" s="7" t="s">
        <v>661</v>
      </c>
      <c r="B24" s="9" t="s">
        <v>45</v>
      </c>
      <c r="C24" t="s">
        <v>51</v>
      </c>
      <c r="D24" s="10" t="s">
        <v>648</v>
      </c>
      <c r="F24" s="7" t="s">
        <v>42</v>
      </c>
    </row>
    <row r="25" spans="1:6">
      <c r="A25" s="7" t="s">
        <v>661</v>
      </c>
      <c r="B25" s="9" t="s">
        <v>43</v>
      </c>
      <c r="C25" t="s">
        <v>626</v>
      </c>
      <c r="D25" s="10" t="s">
        <v>649</v>
      </c>
      <c r="F25" s="7" t="s">
        <v>42</v>
      </c>
    </row>
    <row r="26" spans="1:6">
      <c r="A26" s="7" t="s">
        <v>661</v>
      </c>
      <c r="B26" s="9" t="s">
        <v>45</v>
      </c>
      <c r="C26" t="s">
        <v>51</v>
      </c>
      <c r="D26" s="10" t="s">
        <v>650</v>
      </c>
      <c r="F26" s="7" t="s">
        <v>42</v>
      </c>
    </row>
    <row r="27" spans="1:6">
      <c r="A27" s="7" t="s">
        <v>661</v>
      </c>
      <c r="B27" s="9" t="s">
        <v>45</v>
      </c>
      <c r="C27" t="s">
        <v>51</v>
      </c>
      <c r="D27" s="10" t="s">
        <v>651</v>
      </c>
      <c r="F27" s="7" t="s">
        <v>42</v>
      </c>
    </row>
    <row r="28" spans="1:6">
      <c r="A28" s="7" t="s">
        <v>661</v>
      </c>
      <c r="B28" s="9" t="s">
        <v>43</v>
      </c>
      <c r="C28" t="s">
        <v>626</v>
      </c>
      <c r="D28" s="10" t="s">
        <v>652</v>
      </c>
      <c r="F28" s="7" t="s">
        <v>42</v>
      </c>
    </row>
    <row r="29" spans="1:6">
      <c r="A29" s="7" t="s">
        <v>661</v>
      </c>
      <c r="B29" s="9" t="s">
        <v>43</v>
      </c>
      <c r="C29" t="s">
        <v>626</v>
      </c>
      <c r="D29" s="10" t="s">
        <v>653</v>
      </c>
      <c r="F29" s="7" t="s">
        <v>42</v>
      </c>
    </row>
    <row r="30" spans="1:6">
      <c r="A30" s="7" t="s">
        <v>661</v>
      </c>
      <c r="B30" s="9" t="s">
        <v>43</v>
      </c>
      <c r="C30" t="s">
        <v>626</v>
      </c>
      <c r="D30" s="10" t="s">
        <v>654</v>
      </c>
      <c r="F30" s="7" t="s">
        <v>42</v>
      </c>
    </row>
    <row r="31" spans="1:6">
      <c r="A31" s="7" t="s">
        <v>661</v>
      </c>
      <c r="B31" s="9" t="s">
        <v>43</v>
      </c>
      <c r="C31" t="s">
        <v>626</v>
      </c>
      <c r="D31" s="10" t="s">
        <v>655</v>
      </c>
      <c r="F31" s="7" t="s">
        <v>42</v>
      </c>
    </row>
    <row r="32" spans="1:6">
      <c r="A32" s="7" t="s">
        <v>661</v>
      </c>
      <c r="B32" s="9" t="s">
        <v>43</v>
      </c>
      <c r="C32" t="s">
        <v>626</v>
      </c>
      <c r="D32" s="10" t="s">
        <v>656</v>
      </c>
      <c r="F32" s="7" t="s">
        <v>42</v>
      </c>
    </row>
    <row r="33" spans="1:6">
      <c r="A33" s="7" t="s">
        <v>661</v>
      </c>
      <c r="B33" s="9" t="s">
        <v>45</v>
      </c>
      <c r="C33" t="s">
        <v>51</v>
      </c>
      <c r="D33" s="10" t="s">
        <v>657</v>
      </c>
      <c r="F33" s="7" t="s">
        <v>42</v>
      </c>
    </row>
    <row r="34" spans="1:6">
      <c r="A34" s="7" t="s">
        <v>661</v>
      </c>
      <c r="B34" s="9" t="s">
        <v>43</v>
      </c>
      <c r="C34" t="s">
        <v>626</v>
      </c>
      <c r="D34" s="10" t="s">
        <v>658</v>
      </c>
      <c r="F34" s="7" t="s">
        <v>42</v>
      </c>
    </row>
    <row r="35" spans="1:6">
      <c r="A35" s="7" t="s">
        <v>661</v>
      </c>
      <c r="B35" s="9" t="s">
        <v>45</v>
      </c>
      <c r="C35" t="s">
        <v>51</v>
      </c>
      <c r="D35" s="10" t="s">
        <v>659</v>
      </c>
      <c r="F35" s="7" t="s">
        <v>42</v>
      </c>
    </row>
    <row r="36" spans="1:6">
      <c r="A36" s="7" t="s">
        <v>661</v>
      </c>
      <c r="B36" s="9" t="s">
        <v>45</v>
      </c>
      <c r="C36" t="s">
        <v>51</v>
      </c>
      <c r="D36" s="10" t="s">
        <v>660</v>
      </c>
      <c r="F36" s="7" t="s">
        <v>42</v>
      </c>
    </row>
    <row r="37" spans="1:6">
      <c r="A37" s="7" t="s">
        <v>661</v>
      </c>
      <c r="B37" s="12" t="s">
        <v>699</v>
      </c>
      <c r="C37" s="12" t="s">
        <v>721</v>
      </c>
      <c r="D37" s="5" t="s">
        <v>719</v>
      </c>
      <c r="E37" s="11"/>
    </row>
    <row r="38" spans="1:6">
      <c r="A38" s="7" t="s">
        <v>718</v>
      </c>
      <c r="B38" s="12" t="s">
        <v>700</v>
      </c>
      <c r="C38" s="12" t="s">
        <v>722</v>
      </c>
      <c r="D38" s="13" t="s">
        <v>720</v>
      </c>
      <c r="E38" s="11"/>
    </row>
    <row r="39" spans="1:6">
      <c r="A39" s="7" t="s">
        <v>661</v>
      </c>
      <c r="B39" s="12" t="s">
        <v>700</v>
      </c>
      <c r="C39" s="12" t="s">
        <v>722</v>
      </c>
      <c r="D39" s="5" t="s">
        <v>723</v>
      </c>
      <c r="E39" s="11"/>
    </row>
    <row r="40" spans="1:6">
      <c r="A40" s="7" t="s">
        <v>615</v>
      </c>
      <c r="B40" s="12" t="s">
        <v>699</v>
      </c>
      <c r="C40" s="12" t="s">
        <v>725</v>
      </c>
      <c r="D40" s="5" t="s">
        <v>724</v>
      </c>
      <c r="E40" s="11"/>
    </row>
    <row r="41" spans="1:6">
      <c r="A41" s="7" t="s">
        <v>661</v>
      </c>
      <c r="B41" s="16" t="s">
        <v>772</v>
      </c>
      <c r="C41" s="12" t="s">
        <v>725</v>
      </c>
      <c r="D41" t="s">
        <v>771</v>
      </c>
    </row>
  </sheetData>
  <phoneticPr fontId="3" type="noConversion"/>
  <hyperlinks>
    <hyperlink ref="D2" r:id="rId1" xr:uid="{FB3FA1F0-8089-4A59-A436-4085FB433692}"/>
    <hyperlink ref="D3" r:id="rId2" xr:uid="{B0915739-2A34-4D5C-85A9-854BB62E64B7}"/>
    <hyperlink ref="D4" r:id="rId3" xr:uid="{5A33FA19-F118-4D8C-898C-DAAB7C6783E5}"/>
    <hyperlink ref="D5" r:id="rId4" xr:uid="{0D8613D4-631B-493F-A885-57668DF718BB}"/>
    <hyperlink ref="D6" r:id="rId5" xr:uid="{012CE211-898B-43F5-B17C-3DE3ED6DC206}"/>
    <hyperlink ref="D7" r:id="rId6" xr:uid="{C2D50727-3F6B-4F23-99D0-43A8D4172679}"/>
    <hyperlink ref="D8" r:id="rId7" xr:uid="{D720A0BF-66E1-466F-B850-60C2669C522D}"/>
    <hyperlink ref="D9" r:id="rId8" xr:uid="{BD83711E-D82F-4633-A777-B69D3D23AA00}"/>
    <hyperlink ref="D10" r:id="rId9" xr:uid="{68BF5D9D-C3B3-4759-B304-7FC762CF7B6D}"/>
    <hyperlink ref="D11" r:id="rId10" xr:uid="{A4FD9DB9-27A9-4C72-86B6-9CDED446B613}"/>
    <hyperlink ref="D12" r:id="rId11" xr:uid="{A5D9DE11-9700-4CFB-8594-A6DEE2B07A5B}"/>
    <hyperlink ref="D13" r:id="rId12" xr:uid="{6A599B0C-EE16-44AC-9B56-FA71729A1B41}"/>
    <hyperlink ref="D14" r:id="rId13" xr:uid="{A4B0C083-7C63-476E-A9BD-792A1DD11B4F}"/>
    <hyperlink ref="D15" r:id="rId14" xr:uid="{DEADE278-6075-4EF7-9C8D-0F93303FAC35}"/>
    <hyperlink ref="D16" r:id="rId15" xr:uid="{9ED2574C-22E9-422D-97BB-2B59D95EDE34}"/>
    <hyperlink ref="D17" r:id="rId16" xr:uid="{EE5D454F-FA70-4C66-BFFB-428E60607EF2}"/>
    <hyperlink ref="D18" r:id="rId17" xr:uid="{301BBC3A-AF99-4117-A0BC-74D080F0F065}"/>
    <hyperlink ref="D19" r:id="rId18" xr:uid="{364E2D37-ED77-4576-88C1-0199810692D2}"/>
    <hyperlink ref="D20" r:id="rId19" xr:uid="{EC942639-A7B0-424B-960F-903E1E8C3E60}"/>
    <hyperlink ref="D21" r:id="rId20" xr:uid="{8DFF36EB-0485-499D-90F0-8DCB98E71CA0}"/>
    <hyperlink ref="D22" r:id="rId21" xr:uid="{5E9E44A2-5F29-4119-BC84-339206D17441}"/>
    <hyperlink ref="D23" r:id="rId22" display="https://item.taobao.com/item.htm?abbucket=6&amp;id=900326079325" xr:uid="{767CB867-BAF4-4AFF-8B24-FE115CF2B7A7}"/>
    <hyperlink ref="D24" r:id="rId23" display="https://detail.tmall.com/item.htm?abbucket=6&amp;id=899913391731" xr:uid="{E3113DF4-E9EF-4131-A5F0-6809ECF5B7C1}"/>
    <hyperlink ref="D25" r:id="rId24" display="https://detail.tmall.com/item.htm?abbucket=6&amp;id=969775508289" xr:uid="{C57BA207-6150-45E8-B48B-2D8E65B86518}"/>
    <hyperlink ref="D26" r:id="rId25" display="https://detail.tmall.com/item.htm?abbucket=6&amp;id=966586883102" xr:uid="{310FC26D-95EE-4435-9D13-56B66E129FE2}"/>
    <hyperlink ref="D27" r:id="rId26" display="https://detail.tmall.com/item.htm?abbucket=6&amp;id=903302245833" xr:uid="{C71085C8-81BD-4BC3-B484-0B339E168A40}"/>
    <hyperlink ref="D28" r:id="rId27" display="https://item.taobao.com/item.htm?abbucket=6&amp;id=969161025713" xr:uid="{0197C429-1E32-449C-804B-C8CD7F7F6EE5}"/>
    <hyperlink ref="D29" r:id="rId28" display="https://detail.tmall.com/item.htm?abbucket=6&amp;id=892586096033" xr:uid="{64F79292-C5FB-48F6-B816-3E1D09744D09}"/>
    <hyperlink ref="D30" r:id="rId29" display="https://item.taobao.com/item.htm?abbucket=6&amp;id=968710295649" xr:uid="{841DB5C4-01B6-4C92-90C0-13077DACEEF9}"/>
    <hyperlink ref="D31" r:id="rId30" display="https://item.taobao.com/item.htm?abbucket=6&amp;id=850605001397" xr:uid="{A4BC13B9-69EB-4DD9-9C74-34678E6B815F}"/>
    <hyperlink ref="D32" r:id="rId31" display="https://item.taobao.com/item.htm?abbucket=6&amp;id=968196115574" xr:uid="{5DC939DB-F56B-47FC-A3E7-E61E82252E17}"/>
    <hyperlink ref="D33" r:id="rId32" display="https://item.taobao.com/item.htm?abbucket=6&amp;id=968165577450" xr:uid="{FFE7BCB7-64FF-4EFB-B92F-6B658BB11F42}"/>
    <hyperlink ref="D34" r:id="rId33" display="https://item.taobao.com/item.htm?abbucket=6&amp;id=968693814535" xr:uid="{356D6C4B-59E0-4E1F-AD28-CF28D0EB32A8}"/>
    <hyperlink ref="D35" r:id="rId34" display="https://item.taobao.com/item.htm?abbucket=6&amp;id=966962419360" xr:uid="{3ACBCD49-DA59-49CB-9A7B-317EB3524797}"/>
    <hyperlink ref="D36" r:id="rId35" display="https://item.taobao.com/item.htm?abbucket=6&amp;id=968133433761" xr:uid="{57A9ABD5-96DB-4806-9109-321ABDCA161A}"/>
    <hyperlink ref="D37" r:id="rId36" xr:uid="{911FE54E-F3B8-4CDB-93EE-73858432FF2A}"/>
    <hyperlink ref="D38" r:id="rId37" xr:uid="{57072C72-28C9-4FCA-B13C-8BAEEF67CC40}"/>
    <hyperlink ref="D39" r:id="rId38" xr:uid="{FEC44938-03FB-480A-A24D-F8C9AE1E48B9}"/>
    <hyperlink ref="D40" r:id="rId39" xr:uid="{8970A21A-04D9-486F-A195-405A6A6E7F01}"/>
  </hyperlinks>
  <pageMargins left="0.75" right="0.75" top="1" bottom="1" header="0.5" footer="0.5"/>
  <pageSetup paperSize="9" orientation="portrait" r:id="rId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8DAC-A788-4738-A0C8-18BDC8CC0F46}">
  <dimension ref="A1:P582"/>
  <sheetViews>
    <sheetView topLeftCell="A549" zoomScaleNormal="100" workbookViewId="0">
      <selection activeCell="C477" sqref="C477"/>
    </sheetView>
  </sheetViews>
  <sheetFormatPr defaultRowHeight="13.5"/>
  <cols>
    <col min="2" max="2" width="60.625" customWidth="1"/>
    <col min="3" max="3" width="37.625" customWidth="1"/>
    <col min="4" max="4" width="15.875" customWidth="1"/>
    <col min="5" max="5" width="19.375" customWidth="1"/>
    <col min="6" max="6" width="22.375" bestFit="1" customWidth="1"/>
    <col min="7" max="7" width="50.375" customWidth="1"/>
    <col min="8" max="8" width="39" customWidth="1"/>
    <col min="14" max="14" width="11.625" bestFit="1" customWidth="1"/>
  </cols>
  <sheetData>
    <row r="1" spans="1:16">
      <c r="A1" t="s">
        <v>773</v>
      </c>
      <c r="B1" t="s">
        <v>50</v>
      </c>
      <c r="C1" t="s">
        <v>613</v>
      </c>
      <c r="D1" t="s">
        <v>89</v>
      </c>
      <c r="E1" t="s">
        <v>90</v>
      </c>
      <c r="F1" s="7" t="s">
        <v>1609</v>
      </c>
      <c r="G1" t="s">
        <v>91</v>
      </c>
      <c r="H1" t="s">
        <v>92</v>
      </c>
      <c r="I1" t="s">
        <v>93</v>
      </c>
      <c r="J1" t="s">
        <v>94</v>
      </c>
      <c r="K1" t="s">
        <v>95</v>
      </c>
      <c r="L1" t="s">
        <v>96</v>
      </c>
      <c r="M1" t="s">
        <v>97</v>
      </c>
      <c r="N1" t="s">
        <v>98</v>
      </c>
      <c r="O1" t="s">
        <v>488</v>
      </c>
      <c r="P1" t="s">
        <v>489</v>
      </c>
    </row>
    <row r="2" spans="1:16">
      <c r="B2" t="s">
        <v>922</v>
      </c>
      <c r="C2" t="s">
        <v>923</v>
      </c>
      <c r="D2" t="s">
        <v>884</v>
      </c>
    </row>
    <row r="3" spans="1:16" ht="13.5" customHeight="1">
      <c r="B3" t="s">
        <v>924</v>
      </c>
      <c r="C3" t="s">
        <v>923</v>
      </c>
      <c r="D3" t="s">
        <v>745</v>
      </c>
    </row>
    <row r="4" spans="1:16" ht="13.5" customHeight="1">
      <c r="B4" t="s">
        <v>925</v>
      </c>
      <c r="C4" t="s">
        <v>923</v>
      </c>
      <c r="D4" t="s">
        <v>747</v>
      </c>
    </row>
    <row r="5" spans="1:16">
      <c r="B5" t="s">
        <v>945</v>
      </c>
      <c r="C5" t="s">
        <v>923</v>
      </c>
      <c r="D5" t="s">
        <v>944</v>
      </c>
    </row>
    <row r="6" spans="1:16" ht="13.5" customHeight="1">
      <c r="B6" t="s">
        <v>954</v>
      </c>
      <c r="C6" t="s">
        <v>923</v>
      </c>
      <c r="D6" t="s">
        <v>953</v>
      </c>
    </row>
    <row r="7" spans="1:16" ht="13.5" customHeight="1">
      <c r="B7" t="s">
        <v>957</v>
      </c>
      <c r="C7" t="s">
        <v>923</v>
      </c>
      <c r="D7" t="s">
        <v>956</v>
      </c>
    </row>
    <row r="8" spans="1:16" ht="13.5" customHeight="1">
      <c r="B8" t="s">
        <v>959</v>
      </c>
      <c r="C8" t="s">
        <v>923</v>
      </c>
      <c r="D8" t="s">
        <v>958</v>
      </c>
    </row>
    <row r="9" spans="1:16" ht="13.5" customHeight="1">
      <c r="B9" t="s">
        <v>1344</v>
      </c>
      <c r="C9" t="s">
        <v>923</v>
      </c>
      <c r="D9" t="s">
        <v>1234</v>
      </c>
    </row>
    <row r="10" spans="1:16" ht="13.5" customHeight="1">
      <c r="B10" t="s">
        <v>1249</v>
      </c>
      <c r="C10" t="s">
        <v>923</v>
      </c>
      <c r="D10" t="s">
        <v>1248</v>
      </c>
    </row>
    <row r="11" spans="1:16" ht="13.5" customHeight="1">
      <c r="B11" t="s">
        <v>971</v>
      </c>
      <c r="C11" t="s">
        <v>923</v>
      </c>
      <c r="D11" t="s">
        <v>970</v>
      </c>
    </row>
    <row r="12" spans="1:16" ht="13.5" customHeight="1">
      <c r="B12" t="s">
        <v>1014</v>
      </c>
      <c r="C12" t="s">
        <v>923</v>
      </c>
      <c r="D12" t="s">
        <v>1013</v>
      </c>
    </row>
    <row r="13" spans="1:16" ht="13.5" customHeight="1">
      <c r="B13" t="s">
        <v>1021</v>
      </c>
      <c r="C13" t="s">
        <v>923</v>
      </c>
      <c r="D13" t="s">
        <v>1020</v>
      </c>
    </row>
    <row r="14" spans="1:16" ht="13.5" customHeight="1">
      <c r="B14" t="s">
        <v>1023</v>
      </c>
      <c r="C14" t="s">
        <v>923</v>
      </c>
      <c r="D14" t="s">
        <v>1022</v>
      </c>
    </row>
    <row r="15" spans="1:16" ht="13.5" customHeight="1">
      <c r="B15" t="s">
        <v>1033</v>
      </c>
      <c r="C15" t="s">
        <v>923</v>
      </c>
      <c r="D15" t="s">
        <v>1032</v>
      </c>
    </row>
    <row r="16" spans="1:16" ht="13.5" customHeight="1">
      <c r="B16" t="s">
        <v>982</v>
      </c>
      <c r="C16" t="s">
        <v>923</v>
      </c>
      <c r="D16" t="s">
        <v>981</v>
      </c>
    </row>
    <row r="17" spans="2:4" ht="13.5" customHeight="1">
      <c r="B17" t="s">
        <v>984</v>
      </c>
      <c r="C17" t="s">
        <v>923</v>
      </c>
      <c r="D17" t="s">
        <v>983</v>
      </c>
    </row>
    <row r="18" spans="2:4" ht="13.5" customHeight="1">
      <c r="B18" t="s">
        <v>984</v>
      </c>
      <c r="C18" t="s">
        <v>923</v>
      </c>
      <c r="D18" t="s">
        <v>730</v>
      </c>
    </row>
    <row r="19" spans="2:4" ht="13.5" customHeight="1">
      <c r="B19" t="s">
        <v>984</v>
      </c>
      <c r="C19" t="s">
        <v>923</v>
      </c>
      <c r="D19" t="s">
        <v>737</v>
      </c>
    </row>
    <row r="20" spans="2:4" ht="13.5" customHeight="1">
      <c r="B20" t="s">
        <v>1052</v>
      </c>
      <c r="C20" t="s">
        <v>923</v>
      </c>
      <c r="D20" t="s">
        <v>1051</v>
      </c>
    </row>
    <row r="21" spans="2:4" ht="13.5" customHeight="1">
      <c r="B21" t="s">
        <v>1054</v>
      </c>
      <c r="C21" t="s">
        <v>923</v>
      </c>
      <c r="D21" t="s">
        <v>1053</v>
      </c>
    </row>
    <row r="22" spans="2:4" ht="13.5" customHeight="1">
      <c r="B22" t="s">
        <v>1272</v>
      </c>
      <c r="C22" t="s">
        <v>923</v>
      </c>
      <c r="D22" t="s">
        <v>1271</v>
      </c>
    </row>
    <row r="23" spans="2:4" ht="13.5" customHeight="1">
      <c r="B23" t="s">
        <v>1056</v>
      </c>
      <c r="C23" t="s">
        <v>923</v>
      </c>
      <c r="D23" t="s">
        <v>1055</v>
      </c>
    </row>
    <row r="24" spans="2:4" ht="13.5" customHeight="1">
      <c r="B24" t="s">
        <v>1058</v>
      </c>
      <c r="C24" t="s">
        <v>923</v>
      </c>
      <c r="D24" t="s">
        <v>1057</v>
      </c>
    </row>
    <row r="25" spans="2:4" ht="13.5" customHeight="1">
      <c r="B25" t="s">
        <v>1276</v>
      </c>
      <c r="C25" t="s">
        <v>923</v>
      </c>
      <c r="D25" t="s">
        <v>1275</v>
      </c>
    </row>
    <row r="26" spans="2:4" ht="13.5" customHeight="1">
      <c r="B26" t="s">
        <v>985</v>
      </c>
      <c r="C26" t="s">
        <v>923</v>
      </c>
      <c r="D26" t="s">
        <v>736</v>
      </c>
    </row>
    <row r="27" spans="2:4" ht="13.5" customHeight="1">
      <c r="B27" t="s">
        <v>896</v>
      </c>
      <c r="C27" t="s">
        <v>923</v>
      </c>
      <c r="D27" t="s">
        <v>895</v>
      </c>
    </row>
    <row r="28" spans="2:4" ht="13.5" customHeight="1">
      <c r="B28" t="s">
        <v>898</v>
      </c>
      <c r="C28" t="s">
        <v>923</v>
      </c>
      <c r="D28" t="s">
        <v>897</v>
      </c>
    </row>
    <row r="29" spans="2:4" ht="13.5" customHeight="1">
      <c r="B29" t="s">
        <v>1067</v>
      </c>
      <c r="C29" t="s">
        <v>923</v>
      </c>
      <c r="D29" t="s">
        <v>1066</v>
      </c>
    </row>
    <row r="30" spans="2:4" ht="13.5" customHeight="1">
      <c r="B30" t="s">
        <v>986</v>
      </c>
      <c r="C30" t="s">
        <v>923</v>
      </c>
      <c r="D30" t="s">
        <v>743</v>
      </c>
    </row>
    <row r="31" spans="2:4" ht="13.5" customHeight="1">
      <c r="B31" t="s">
        <v>1069</v>
      </c>
      <c r="C31" t="s">
        <v>923</v>
      </c>
      <c r="D31" t="s">
        <v>1068</v>
      </c>
    </row>
    <row r="32" spans="2:4" ht="13.5" customHeight="1">
      <c r="B32" t="s">
        <v>986</v>
      </c>
      <c r="C32" t="s">
        <v>923</v>
      </c>
      <c r="D32" t="s">
        <v>728</v>
      </c>
    </row>
    <row r="33" spans="2:4" ht="13.5" customHeight="1">
      <c r="B33" t="s">
        <v>998</v>
      </c>
      <c r="C33" t="s">
        <v>923</v>
      </c>
      <c r="D33" t="s">
        <v>987</v>
      </c>
    </row>
    <row r="34" spans="2:4" ht="13.5" customHeight="1">
      <c r="B34" t="s">
        <v>1290</v>
      </c>
      <c r="C34" t="s">
        <v>923</v>
      </c>
      <c r="D34" t="s">
        <v>1289</v>
      </c>
    </row>
    <row r="35" spans="2:4" ht="13.5" customHeight="1">
      <c r="B35" t="s">
        <v>992</v>
      </c>
      <c r="C35" t="s">
        <v>923</v>
      </c>
      <c r="D35" t="s">
        <v>732</v>
      </c>
    </row>
    <row r="36" spans="2:4" ht="13.5" customHeight="1">
      <c r="B36" t="s">
        <v>1076</v>
      </c>
      <c r="C36" t="s">
        <v>923</v>
      </c>
      <c r="D36" t="s">
        <v>763</v>
      </c>
    </row>
    <row r="37" spans="2:4" ht="13.5" customHeight="1">
      <c r="B37" t="s">
        <v>986</v>
      </c>
      <c r="C37" t="s">
        <v>923</v>
      </c>
      <c r="D37" t="s">
        <v>993</v>
      </c>
    </row>
    <row r="38" spans="2:4" ht="13.5" customHeight="1">
      <c r="B38" t="s">
        <v>986</v>
      </c>
      <c r="C38" t="s">
        <v>923</v>
      </c>
      <c r="D38" t="s">
        <v>994</v>
      </c>
    </row>
    <row r="39" spans="2:4" ht="13.5" customHeight="1">
      <c r="B39" t="s">
        <v>269</v>
      </c>
      <c r="C39" t="s">
        <v>923</v>
      </c>
      <c r="D39" t="s">
        <v>1542</v>
      </c>
    </row>
    <row r="40" spans="2:4" ht="13.5" customHeight="1">
      <c r="B40" t="s">
        <v>907</v>
      </c>
      <c r="C40" t="s">
        <v>923</v>
      </c>
      <c r="D40" t="s">
        <v>906</v>
      </c>
    </row>
    <row r="41" spans="2:4" ht="13.5" customHeight="1">
      <c r="B41" t="s">
        <v>997</v>
      </c>
      <c r="C41" t="s">
        <v>923</v>
      </c>
      <c r="D41" t="s">
        <v>740</v>
      </c>
    </row>
    <row r="42" spans="2:4">
      <c r="B42" t="s">
        <v>301</v>
      </c>
      <c r="C42" t="s">
        <v>1150</v>
      </c>
      <c r="D42" t="s">
        <v>1151</v>
      </c>
    </row>
    <row r="43" spans="2:4" ht="13.5" customHeight="1">
      <c r="B43" t="s">
        <v>1551</v>
      </c>
      <c r="C43" t="s">
        <v>923</v>
      </c>
      <c r="D43" t="s">
        <v>1552</v>
      </c>
    </row>
    <row r="44" spans="2:4" ht="13.5" customHeight="1">
      <c r="B44" t="s">
        <v>1551</v>
      </c>
      <c r="C44" t="s">
        <v>923</v>
      </c>
      <c r="D44" t="s">
        <v>1553</v>
      </c>
    </row>
    <row r="45" spans="2:4" ht="13.5" customHeight="1">
      <c r="B45" t="s">
        <v>1328</v>
      </c>
      <c r="C45" t="s">
        <v>923</v>
      </c>
      <c r="D45" t="s">
        <v>1327</v>
      </c>
    </row>
    <row r="46" spans="2:4" ht="13.5" customHeight="1">
      <c r="B46" t="s">
        <v>1113</v>
      </c>
      <c r="C46" t="s">
        <v>923</v>
      </c>
      <c r="D46" t="s">
        <v>1112</v>
      </c>
    </row>
    <row r="47" spans="2:4" ht="13.5" customHeight="1">
      <c r="B47" t="s">
        <v>1137</v>
      </c>
      <c r="C47" t="s">
        <v>923</v>
      </c>
      <c r="D47" t="s">
        <v>1116</v>
      </c>
    </row>
    <row r="48" spans="2:4" ht="13.5" customHeight="1">
      <c r="B48" t="s">
        <v>1118</v>
      </c>
      <c r="C48" t="s">
        <v>923</v>
      </c>
      <c r="D48" t="s">
        <v>1117</v>
      </c>
    </row>
    <row r="49" spans="1:5" ht="13.5" customHeight="1">
      <c r="B49" t="s">
        <v>1128</v>
      </c>
      <c r="C49" t="s">
        <v>923</v>
      </c>
      <c r="D49" t="s">
        <v>1119</v>
      </c>
    </row>
    <row r="50" spans="1:5">
      <c r="B50" t="s">
        <v>1121</v>
      </c>
      <c r="C50" t="s">
        <v>923</v>
      </c>
      <c r="D50" t="s">
        <v>1120</v>
      </c>
    </row>
    <row r="51" spans="1:5" ht="13.5" customHeight="1">
      <c r="B51" t="s">
        <v>921</v>
      </c>
      <c r="C51" t="s">
        <v>804</v>
      </c>
      <c r="D51" t="s">
        <v>883</v>
      </c>
    </row>
    <row r="52" spans="1:5" ht="13.5" customHeight="1">
      <c r="B52" t="s">
        <v>885</v>
      </c>
      <c r="C52" t="s">
        <v>804</v>
      </c>
      <c r="D52" t="s">
        <v>748</v>
      </c>
    </row>
    <row r="53" spans="1:5" ht="13.5" customHeight="1">
      <c r="B53" t="s">
        <v>999</v>
      </c>
      <c r="C53" t="s">
        <v>804</v>
      </c>
      <c r="D53" t="s">
        <v>931</v>
      </c>
    </row>
    <row r="54" spans="1:5" ht="13.5" customHeight="1">
      <c r="B54" t="s">
        <v>1237</v>
      </c>
      <c r="C54" t="s">
        <v>804</v>
      </c>
      <c r="D54" t="s">
        <v>1236</v>
      </c>
      <c r="E54" t="s">
        <v>1603</v>
      </c>
    </row>
    <row r="55" spans="1:5" ht="13.5" customHeight="1">
      <c r="B55" t="s">
        <v>890</v>
      </c>
      <c r="C55" t="s">
        <v>804</v>
      </c>
      <c r="D55" t="s">
        <v>746</v>
      </c>
    </row>
    <row r="56" spans="1:5" ht="13.5" customHeight="1">
      <c r="B56" t="s">
        <v>878</v>
      </c>
      <c r="C56" t="s">
        <v>804</v>
      </c>
      <c r="D56" t="s">
        <v>871</v>
      </c>
    </row>
    <row r="57" spans="1:5" ht="13.5" customHeight="1">
      <c r="B57" t="s">
        <v>1401</v>
      </c>
      <c r="C57" t="s">
        <v>804</v>
      </c>
      <c r="D57" t="s">
        <v>1402</v>
      </c>
    </row>
    <row r="58" spans="1:5">
      <c r="B58" t="s">
        <v>1247</v>
      </c>
      <c r="C58" t="s">
        <v>804</v>
      </c>
      <c r="D58" t="s">
        <v>1246</v>
      </c>
    </row>
    <row r="59" spans="1:5" ht="13.5" customHeight="1">
      <c r="B59" t="s">
        <v>1345</v>
      </c>
      <c r="C59" t="s">
        <v>804</v>
      </c>
      <c r="D59" t="s">
        <v>1253</v>
      </c>
    </row>
    <row r="60" spans="1:5" ht="13.5" customHeight="1">
      <c r="B60" t="s">
        <v>1017</v>
      </c>
      <c r="C60" t="s">
        <v>1129</v>
      </c>
      <c r="D60" t="s">
        <v>1016</v>
      </c>
    </row>
    <row r="61" spans="1:5" ht="13.5" customHeight="1">
      <c r="A61">
        <v>146</v>
      </c>
      <c r="B61" t="s">
        <v>798</v>
      </c>
      <c r="C61" t="s">
        <v>804</v>
      </c>
      <c r="D61" t="s">
        <v>794</v>
      </c>
    </row>
    <row r="62" spans="1:5" ht="13.5" customHeight="1">
      <c r="B62" t="s">
        <v>980</v>
      </c>
      <c r="C62" t="s">
        <v>804</v>
      </c>
      <c r="D62" t="s">
        <v>1267</v>
      </c>
    </row>
    <row r="63" spans="1:5" ht="13.5" customHeight="1">
      <c r="B63" t="s">
        <v>980</v>
      </c>
      <c r="C63" t="s">
        <v>804</v>
      </c>
      <c r="D63" t="s">
        <v>979</v>
      </c>
    </row>
    <row r="64" spans="1:5" ht="13.5" customHeight="1">
      <c r="B64" t="s">
        <v>1269</v>
      </c>
      <c r="C64" t="s">
        <v>804</v>
      </c>
      <c r="D64" t="s">
        <v>1268</v>
      </c>
    </row>
    <row r="65" spans="1:4" ht="13.5" customHeight="1">
      <c r="B65" t="s">
        <v>1146</v>
      </c>
      <c r="C65" t="s">
        <v>804</v>
      </c>
      <c r="D65" t="s">
        <v>1046</v>
      </c>
    </row>
    <row r="66" spans="1:4" ht="13.5" customHeight="1">
      <c r="B66" t="s">
        <v>1584</v>
      </c>
      <c r="C66" t="s">
        <v>804</v>
      </c>
      <c r="D66" t="s">
        <v>1435</v>
      </c>
    </row>
    <row r="67" spans="1:4" ht="13.5" customHeight="1">
      <c r="B67" t="s">
        <v>1278</v>
      </c>
      <c r="C67" t="s">
        <v>804</v>
      </c>
      <c r="D67" t="s">
        <v>1277</v>
      </c>
    </row>
    <row r="68" spans="1:4" ht="13.5" customHeight="1">
      <c r="B68" t="s">
        <v>1280</v>
      </c>
      <c r="C68" t="s">
        <v>804</v>
      </c>
      <c r="D68" t="s">
        <v>1279</v>
      </c>
    </row>
    <row r="69" spans="1:4">
      <c r="B69" t="s">
        <v>1065</v>
      </c>
      <c r="C69" t="s">
        <v>804</v>
      </c>
      <c r="D69" t="s">
        <v>1064</v>
      </c>
    </row>
    <row r="70" spans="1:4" ht="13.5" customHeight="1">
      <c r="B70" t="s">
        <v>989</v>
      </c>
      <c r="C70" t="s">
        <v>804</v>
      </c>
      <c r="D70" t="s">
        <v>988</v>
      </c>
    </row>
    <row r="71" spans="1:4" ht="13.5" customHeight="1">
      <c r="B71" t="s">
        <v>1292</v>
      </c>
      <c r="C71" t="s">
        <v>804</v>
      </c>
      <c r="D71" t="s">
        <v>1291</v>
      </c>
    </row>
    <row r="72" spans="1:4" ht="13.5" customHeight="1">
      <c r="B72" t="s">
        <v>1292</v>
      </c>
      <c r="C72" t="s">
        <v>804</v>
      </c>
      <c r="D72" t="s">
        <v>1293</v>
      </c>
    </row>
    <row r="73" spans="1:4">
      <c r="B73" t="s">
        <v>1308</v>
      </c>
      <c r="C73" t="s">
        <v>804</v>
      </c>
      <c r="D73" t="s">
        <v>1307</v>
      </c>
    </row>
    <row r="74" spans="1:4">
      <c r="B74" t="s">
        <v>995</v>
      </c>
      <c r="C74" t="s">
        <v>804</v>
      </c>
      <c r="D74" t="s">
        <v>741</v>
      </c>
    </row>
    <row r="75" spans="1:4">
      <c r="B75" t="s">
        <v>1314</v>
      </c>
      <c r="C75" t="s">
        <v>804</v>
      </c>
      <c r="D75" t="s">
        <v>1313</v>
      </c>
    </row>
    <row r="76" spans="1:4">
      <c r="B76" t="s">
        <v>1138</v>
      </c>
      <c r="C76" t="s">
        <v>804</v>
      </c>
      <c r="D76" t="s">
        <v>1099</v>
      </c>
    </row>
    <row r="77" spans="1:4">
      <c r="C77" t="s">
        <v>804</v>
      </c>
      <c r="D77" s="56" t="s">
        <v>1859</v>
      </c>
    </row>
    <row r="78" spans="1:4">
      <c r="B78" t="s">
        <v>1312</v>
      </c>
      <c r="C78" t="s">
        <v>1350</v>
      </c>
      <c r="D78" t="s">
        <v>1311</v>
      </c>
    </row>
    <row r="79" spans="1:4">
      <c r="B79" t="s">
        <v>1139</v>
      </c>
      <c r="C79" t="s">
        <v>1140</v>
      </c>
      <c r="D79" t="s">
        <v>1098</v>
      </c>
    </row>
    <row r="80" spans="1:4">
      <c r="A80">
        <v>150</v>
      </c>
      <c r="B80" t="s">
        <v>811</v>
      </c>
      <c r="C80" t="s">
        <v>812</v>
      </c>
      <c r="D80" t="s">
        <v>799</v>
      </c>
    </row>
    <row r="81" spans="1:16">
      <c r="B81" t="s">
        <v>1132</v>
      </c>
      <c r="C81" t="s">
        <v>1130</v>
      </c>
      <c r="D81" t="s">
        <v>1124</v>
      </c>
    </row>
    <row r="82" spans="1:16">
      <c r="A82">
        <v>36</v>
      </c>
      <c r="B82" t="s">
        <v>253</v>
      </c>
      <c r="C82" t="s">
        <v>679</v>
      </c>
      <c r="D82" t="s">
        <v>432</v>
      </c>
      <c r="E82" t="s">
        <v>86</v>
      </c>
      <c r="G82" t="s">
        <v>113</v>
      </c>
      <c r="H82" t="s">
        <v>254</v>
      </c>
      <c r="I82">
        <v>726</v>
      </c>
      <c r="J82">
        <v>520</v>
      </c>
      <c r="K82">
        <v>91</v>
      </c>
      <c r="L82">
        <v>7</v>
      </c>
      <c r="M82" t="s">
        <v>101</v>
      </c>
      <c r="N82">
        <v>44726</v>
      </c>
      <c r="O82" t="s">
        <v>625</v>
      </c>
      <c r="P82" t="s">
        <v>556</v>
      </c>
    </row>
    <row r="83" spans="1:16">
      <c r="B83" t="s">
        <v>1241</v>
      </c>
      <c r="C83" t="s">
        <v>1354</v>
      </c>
      <c r="D83" t="s">
        <v>1240</v>
      </c>
    </row>
    <row r="84" spans="1:16">
      <c r="A84">
        <v>153</v>
      </c>
      <c r="B84" s="22" t="s">
        <v>1670</v>
      </c>
      <c r="C84" t="s">
        <v>1671</v>
      </c>
      <c r="D84" s="22" t="s">
        <v>1167</v>
      </c>
    </row>
    <row r="85" spans="1:16">
      <c r="B85" t="s">
        <v>1133</v>
      </c>
      <c r="C85" t="s">
        <v>1131</v>
      </c>
      <c r="D85" t="s">
        <v>1028</v>
      </c>
    </row>
    <row r="86" spans="1:16">
      <c r="B86" t="s">
        <v>1349</v>
      </c>
      <c r="C86" t="s">
        <v>1148</v>
      </c>
      <c r="D86" t="s">
        <v>1211</v>
      </c>
      <c r="E86" t="s">
        <v>709</v>
      </c>
    </row>
    <row r="87" spans="1:16">
      <c r="B87" t="s">
        <v>1233</v>
      </c>
      <c r="C87" t="s">
        <v>1148</v>
      </c>
      <c r="D87" t="s">
        <v>1232</v>
      </c>
    </row>
    <row r="88" spans="1:16">
      <c r="B88" t="s">
        <v>1030</v>
      </c>
      <c r="C88" t="s">
        <v>1148</v>
      </c>
      <c r="D88" t="s">
        <v>1029</v>
      </c>
    </row>
    <row r="89" spans="1:16">
      <c r="B89" t="s">
        <v>1164</v>
      </c>
      <c r="C89" t="s">
        <v>1148</v>
      </c>
      <c r="D89" t="s">
        <v>1165</v>
      </c>
    </row>
    <row r="90" spans="1:16">
      <c r="B90" t="s">
        <v>1170</v>
      </c>
      <c r="C90" t="s">
        <v>1148</v>
      </c>
      <c r="D90" t="s">
        <v>1171</v>
      </c>
    </row>
    <row r="91" spans="1:16">
      <c r="B91" t="s">
        <v>1168</v>
      </c>
      <c r="C91" t="s">
        <v>1148</v>
      </c>
      <c r="D91" t="s">
        <v>1169</v>
      </c>
    </row>
    <row r="92" spans="1:16">
      <c r="B92" t="s">
        <v>1266</v>
      </c>
      <c r="C92" t="s">
        <v>1148</v>
      </c>
      <c r="D92" t="s">
        <v>1265</v>
      </c>
    </row>
    <row r="93" spans="1:16">
      <c r="B93" t="s">
        <v>1282</v>
      </c>
      <c r="C93" t="s">
        <v>1148</v>
      </c>
      <c r="D93" t="s">
        <v>1281</v>
      </c>
    </row>
    <row r="94" spans="1:16">
      <c r="B94" t="s">
        <v>1075</v>
      </c>
      <c r="C94" t="s">
        <v>1148</v>
      </c>
      <c r="D94" t="s">
        <v>1074</v>
      </c>
    </row>
    <row r="95" spans="1:16">
      <c r="B95" t="s">
        <v>1491</v>
      </c>
      <c r="C95" t="s">
        <v>1148</v>
      </c>
      <c r="D95" t="s">
        <v>1492</v>
      </c>
    </row>
    <row r="96" spans="1:16">
      <c r="B96" t="s">
        <v>1585</v>
      </c>
      <c r="C96" t="s">
        <v>1148</v>
      </c>
      <c r="D96" t="s">
        <v>1493</v>
      </c>
    </row>
    <row r="97" spans="1:16">
      <c r="B97" t="s">
        <v>1494</v>
      </c>
      <c r="C97" t="s">
        <v>1148</v>
      </c>
      <c r="D97" t="s">
        <v>1495</v>
      </c>
    </row>
    <row r="98" spans="1:16">
      <c r="B98" t="s">
        <v>1086</v>
      </c>
      <c r="C98" t="s">
        <v>1148</v>
      </c>
      <c r="D98" t="s">
        <v>1085</v>
      </c>
    </row>
    <row r="99" spans="1:16">
      <c r="B99" t="s">
        <v>1088</v>
      </c>
      <c r="C99" t="s">
        <v>1148</v>
      </c>
      <c r="D99" t="s">
        <v>1087</v>
      </c>
    </row>
    <row r="100" spans="1:16">
      <c r="B100" t="s">
        <v>1147</v>
      </c>
      <c r="C100" t="s">
        <v>1148</v>
      </c>
      <c r="D100" t="s">
        <v>1089</v>
      </c>
    </row>
    <row r="101" spans="1:16">
      <c r="B101" t="s">
        <v>1092</v>
      </c>
      <c r="C101" t="s">
        <v>1148</v>
      </c>
      <c r="D101" t="s">
        <v>1091</v>
      </c>
    </row>
    <row r="102" spans="1:16">
      <c r="B102" t="s">
        <v>1501</v>
      </c>
      <c r="C102" t="s">
        <v>1148</v>
      </c>
      <c r="D102" t="s">
        <v>1502</v>
      </c>
    </row>
    <row r="103" spans="1:16">
      <c r="B103" t="s">
        <v>1501</v>
      </c>
      <c r="C103" t="s">
        <v>1148</v>
      </c>
      <c r="D103" t="s">
        <v>1503</v>
      </c>
    </row>
    <row r="104" spans="1:16">
      <c r="B104" t="s">
        <v>1093</v>
      </c>
      <c r="C104" t="s">
        <v>1148</v>
      </c>
      <c r="D104" t="s">
        <v>765</v>
      </c>
    </row>
    <row r="105" spans="1:16">
      <c r="B105" t="s">
        <v>1090</v>
      </c>
      <c r="C105" t="s">
        <v>1148</v>
      </c>
      <c r="D105" t="s">
        <v>1094</v>
      </c>
    </row>
    <row r="106" spans="1:16">
      <c r="B106" t="s">
        <v>1095</v>
      </c>
      <c r="C106" t="s">
        <v>1148</v>
      </c>
      <c r="D106" t="s">
        <v>766</v>
      </c>
    </row>
    <row r="107" spans="1:16">
      <c r="B107" t="s">
        <v>1096</v>
      </c>
      <c r="C107" t="s">
        <v>1148</v>
      </c>
      <c r="D107" t="s">
        <v>764</v>
      </c>
    </row>
    <row r="108" spans="1:16">
      <c r="B108" t="s">
        <v>1547</v>
      </c>
      <c r="C108" t="s">
        <v>1148</v>
      </c>
      <c r="D108" t="s">
        <v>1548</v>
      </c>
    </row>
    <row r="109" spans="1:16">
      <c r="B109" t="s">
        <v>1554</v>
      </c>
      <c r="C109" t="s">
        <v>1148</v>
      </c>
      <c r="D109" t="s">
        <v>1555</v>
      </c>
    </row>
    <row r="110" spans="1:16">
      <c r="B110" t="s">
        <v>1586</v>
      </c>
      <c r="C110" t="s">
        <v>1510</v>
      </c>
      <c r="D110" t="s">
        <v>1509</v>
      </c>
    </row>
    <row r="111" spans="1:16">
      <c r="C111" s="12" t="s">
        <v>725</v>
      </c>
      <c r="D111" s="56" t="s">
        <v>1861</v>
      </c>
    </row>
    <row r="112" spans="1:16">
      <c r="A112">
        <v>83</v>
      </c>
      <c r="B112" t="s">
        <v>190</v>
      </c>
      <c r="C112" t="s">
        <v>685</v>
      </c>
      <c r="D112" t="s">
        <v>398</v>
      </c>
      <c r="E112" t="s">
        <v>87</v>
      </c>
      <c r="G112" t="s">
        <v>100</v>
      </c>
      <c r="H112">
        <v>13999</v>
      </c>
      <c r="I112">
        <v>10</v>
      </c>
      <c r="J112">
        <v>9</v>
      </c>
      <c r="K112">
        <v>0</v>
      </c>
      <c r="L112">
        <v>0</v>
      </c>
      <c r="M112" t="s">
        <v>101</v>
      </c>
      <c r="N112">
        <v>45593</v>
      </c>
      <c r="O112" t="s">
        <v>625</v>
      </c>
      <c r="P112" t="s">
        <v>586</v>
      </c>
    </row>
    <row r="113" spans="1:16">
      <c r="B113" t="s">
        <v>1143</v>
      </c>
      <c r="C113" t="s">
        <v>1144</v>
      </c>
      <c r="D113" t="s">
        <v>1015</v>
      </c>
    </row>
    <row r="114" spans="1:16">
      <c r="A114">
        <v>141</v>
      </c>
      <c r="B114" t="s">
        <v>710</v>
      </c>
      <c r="C114" t="s">
        <v>669</v>
      </c>
      <c r="D114" t="s">
        <v>734</v>
      </c>
      <c r="E114" t="s">
        <v>788</v>
      </c>
    </row>
    <row r="115" spans="1:16">
      <c r="A115">
        <v>82</v>
      </c>
      <c r="B115" t="s">
        <v>227</v>
      </c>
      <c r="C115" t="s">
        <v>687</v>
      </c>
      <c r="D115" t="s">
        <v>418</v>
      </c>
      <c r="E115" t="s">
        <v>83</v>
      </c>
      <c r="G115" t="s">
        <v>100</v>
      </c>
      <c r="H115" t="s">
        <v>228</v>
      </c>
      <c r="I115">
        <v>197</v>
      </c>
      <c r="J115">
        <v>25</v>
      </c>
      <c r="K115">
        <v>0</v>
      </c>
      <c r="L115">
        <v>0</v>
      </c>
      <c r="M115" t="s">
        <v>101</v>
      </c>
      <c r="N115">
        <v>45194</v>
      </c>
      <c r="O115" t="s">
        <v>625</v>
      </c>
      <c r="P115" t="s">
        <v>593</v>
      </c>
    </row>
    <row r="116" spans="1:16">
      <c r="C116" t="s">
        <v>1862</v>
      </c>
      <c r="D116" s="56" t="s">
        <v>1856</v>
      </c>
    </row>
    <row r="117" spans="1:16">
      <c r="B117" t="s">
        <v>1583</v>
      </c>
      <c r="C117" t="s">
        <v>1386</v>
      </c>
      <c r="D117" t="s">
        <v>1385</v>
      </c>
    </row>
    <row r="118" spans="1:16">
      <c r="A118">
        <v>65</v>
      </c>
      <c r="B118" t="s">
        <v>318</v>
      </c>
      <c r="C118" t="s">
        <v>683</v>
      </c>
      <c r="D118" t="s">
        <v>462</v>
      </c>
      <c r="E118" t="s">
        <v>1592</v>
      </c>
      <c r="G118" t="s">
        <v>100</v>
      </c>
      <c r="H118">
        <v>2599</v>
      </c>
      <c r="I118">
        <v>161</v>
      </c>
      <c r="J118">
        <v>1441</v>
      </c>
      <c r="K118">
        <v>374</v>
      </c>
      <c r="L118">
        <v>1</v>
      </c>
      <c r="M118" t="s">
        <v>101</v>
      </c>
      <c r="N118">
        <v>44277</v>
      </c>
      <c r="O118" t="s">
        <v>625</v>
      </c>
      <c r="P118" t="s">
        <v>574</v>
      </c>
    </row>
    <row r="119" spans="1:16">
      <c r="A119">
        <v>81</v>
      </c>
      <c r="B119" t="s">
        <v>267</v>
      </c>
      <c r="C119" t="s">
        <v>689</v>
      </c>
      <c r="D119" t="s">
        <v>439</v>
      </c>
      <c r="E119" t="s">
        <v>702</v>
      </c>
      <c r="G119" t="s">
        <v>113</v>
      </c>
      <c r="H119" t="s">
        <v>268</v>
      </c>
      <c r="I119">
        <v>64</v>
      </c>
      <c r="J119">
        <v>3064</v>
      </c>
      <c r="K119">
        <v>540</v>
      </c>
      <c r="L119">
        <v>0</v>
      </c>
      <c r="M119" t="s">
        <v>101</v>
      </c>
      <c r="N119">
        <v>44536</v>
      </c>
      <c r="O119" t="s">
        <v>625</v>
      </c>
      <c r="P119" t="s">
        <v>612</v>
      </c>
    </row>
    <row r="120" spans="1:16">
      <c r="A120">
        <v>139</v>
      </c>
      <c r="B120" t="s">
        <v>784</v>
      </c>
      <c r="C120" t="s">
        <v>785</v>
      </c>
      <c r="D120" t="s">
        <v>783</v>
      </c>
      <c r="E120" t="s">
        <v>772</v>
      </c>
    </row>
    <row r="121" spans="1:16">
      <c r="C121" t="s">
        <v>1866</v>
      </c>
      <c r="D121" s="22" t="s">
        <v>1860</v>
      </c>
    </row>
    <row r="122" spans="1:16">
      <c r="B122" t="s">
        <v>1213</v>
      </c>
      <c r="C122" t="s">
        <v>631</v>
      </c>
      <c r="D122" t="s">
        <v>1212</v>
      </c>
      <c r="E122" t="s">
        <v>707</v>
      </c>
    </row>
    <row r="123" spans="1:16">
      <c r="B123" t="s">
        <v>1353</v>
      </c>
      <c r="C123" t="s">
        <v>631</v>
      </c>
      <c r="D123" t="s">
        <v>1258</v>
      </c>
    </row>
    <row r="124" spans="1:16">
      <c r="B124" t="s">
        <v>1126</v>
      </c>
      <c r="C124" t="s">
        <v>631</v>
      </c>
      <c r="D124" t="s">
        <v>1339</v>
      </c>
    </row>
    <row r="125" spans="1:16">
      <c r="C125" t="s">
        <v>1865</v>
      </c>
      <c r="D125" s="22" t="s">
        <v>1858</v>
      </c>
    </row>
    <row r="126" spans="1:16">
      <c r="B126" t="s">
        <v>1027</v>
      </c>
      <c r="C126" t="s">
        <v>1135</v>
      </c>
      <c r="D126" t="s">
        <v>1026</v>
      </c>
    </row>
    <row r="127" spans="1:16">
      <c r="B127" t="s">
        <v>1134</v>
      </c>
      <c r="C127" t="s">
        <v>1135</v>
      </c>
      <c r="D127" t="s">
        <v>1059</v>
      </c>
    </row>
    <row r="128" spans="1:16">
      <c r="B128" t="s">
        <v>1027</v>
      </c>
      <c r="C128" t="s">
        <v>1135</v>
      </c>
      <c r="D128" t="s">
        <v>1061</v>
      </c>
    </row>
    <row r="129" spans="1:5">
      <c r="B129" t="s">
        <v>1126</v>
      </c>
      <c r="C129" t="s">
        <v>1135</v>
      </c>
      <c r="D129" t="s">
        <v>1125</v>
      </c>
    </row>
    <row r="130" spans="1:5">
      <c r="A130">
        <v>153</v>
      </c>
      <c r="B130" t="s">
        <v>815</v>
      </c>
      <c r="C130" t="s">
        <v>663</v>
      </c>
      <c r="D130" t="s">
        <v>802</v>
      </c>
    </row>
    <row r="131" spans="1:5">
      <c r="B131" t="s">
        <v>920</v>
      </c>
      <c r="C131" t="s">
        <v>628</v>
      </c>
      <c r="D131" t="s">
        <v>882</v>
      </c>
    </row>
    <row r="132" spans="1:5">
      <c r="B132" t="s">
        <v>937</v>
      </c>
      <c r="C132" t="s">
        <v>628</v>
      </c>
      <c r="D132" t="s">
        <v>936</v>
      </c>
    </row>
    <row r="133" spans="1:5">
      <c r="B133" t="s">
        <v>939</v>
      </c>
      <c r="C133" t="s">
        <v>628</v>
      </c>
      <c r="D133" t="s">
        <v>938</v>
      </c>
    </row>
    <row r="134" spans="1:5">
      <c r="B134" t="s">
        <v>1217</v>
      </c>
      <c r="C134" t="s">
        <v>1348</v>
      </c>
      <c r="D134" t="s">
        <v>1216</v>
      </c>
      <c r="E134" t="s">
        <v>708</v>
      </c>
    </row>
    <row r="135" spans="1:5">
      <c r="B135" t="s">
        <v>943</v>
      </c>
      <c r="C135" t="s">
        <v>628</v>
      </c>
      <c r="D135" t="s">
        <v>942</v>
      </c>
    </row>
    <row r="136" spans="1:5">
      <c r="B136" t="s">
        <v>887</v>
      </c>
      <c r="C136" t="s">
        <v>628</v>
      </c>
      <c r="D136" t="s">
        <v>886</v>
      </c>
    </row>
    <row r="137" spans="1:5">
      <c r="B137" t="s">
        <v>947</v>
      </c>
      <c r="C137" t="s">
        <v>628</v>
      </c>
      <c r="D137" t="s">
        <v>946</v>
      </c>
    </row>
    <row r="138" spans="1:5">
      <c r="B138" t="s">
        <v>949</v>
      </c>
      <c r="C138" t="s">
        <v>628</v>
      </c>
      <c r="D138" t="s">
        <v>948</v>
      </c>
    </row>
    <row r="139" spans="1:5">
      <c r="B139" t="s">
        <v>1025</v>
      </c>
      <c r="C139" t="s">
        <v>1348</v>
      </c>
      <c r="D139" t="s">
        <v>1225</v>
      </c>
    </row>
    <row r="140" spans="1:5">
      <c r="B140" t="s">
        <v>961</v>
      </c>
      <c r="C140" t="s">
        <v>628</v>
      </c>
      <c r="D140" t="s">
        <v>960</v>
      </c>
    </row>
    <row r="141" spans="1:5">
      <c r="B141" t="s">
        <v>892</v>
      </c>
      <c r="C141" t="s">
        <v>628</v>
      </c>
      <c r="D141" t="s">
        <v>891</v>
      </c>
    </row>
    <row r="142" spans="1:5">
      <c r="B142" t="s">
        <v>1239</v>
      </c>
      <c r="C142" t="s">
        <v>1348</v>
      </c>
      <c r="D142" t="s">
        <v>1238</v>
      </c>
    </row>
    <row r="143" spans="1:5">
      <c r="B143" t="s">
        <v>963</v>
      </c>
      <c r="C143" t="s">
        <v>628</v>
      </c>
      <c r="D143" t="s">
        <v>962</v>
      </c>
    </row>
    <row r="144" spans="1:5">
      <c r="B144" t="s">
        <v>1243</v>
      </c>
      <c r="C144" t="s">
        <v>1348</v>
      </c>
      <c r="D144" t="s">
        <v>1242</v>
      </c>
    </row>
    <row r="145" spans="1:16">
      <c r="B145" t="s">
        <v>1001</v>
      </c>
      <c r="C145" t="s">
        <v>628</v>
      </c>
      <c r="D145" t="s">
        <v>964</v>
      </c>
    </row>
    <row r="146" spans="1:16">
      <c r="B146" t="s">
        <v>965</v>
      </c>
      <c r="C146" t="s">
        <v>628</v>
      </c>
      <c r="D146" t="s">
        <v>966</v>
      </c>
    </row>
    <row r="147" spans="1:16">
      <c r="B147" t="s">
        <v>968</v>
      </c>
      <c r="C147" t="s">
        <v>628</v>
      </c>
      <c r="D147" t="s">
        <v>967</v>
      </c>
    </row>
    <row r="148" spans="1:16">
      <c r="B148" t="s">
        <v>1262</v>
      </c>
      <c r="C148" t="s">
        <v>1348</v>
      </c>
      <c r="D148" t="s">
        <v>1261</v>
      </c>
    </row>
    <row r="149" spans="1:16">
      <c r="B149" t="s">
        <v>1264</v>
      </c>
      <c r="C149" t="s">
        <v>1348</v>
      </c>
      <c r="D149" t="s">
        <v>1263</v>
      </c>
    </row>
    <row r="150" spans="1:16">
      <c r="B150" t="s">
        <v>894</v>
      </c>
      <c r="C150" t="s">
        <v>628</v>
      </c>
      <c r="D150" t="s">
        <v>893</v>
      </c>
    </row>
    <row r="151" spans="1:16">
      <c r="B151" t="s">
        <v>991</v>
      </c>
      <c r="C151" t="s">
        <v>628</v>
      </c>
      <c r="D151" t="s">
        <v>990</v>
      </c>
    </row>
    <row r="152" spans="1:16">
      <c r="B152" t="s">
        <v>902</v>
      </c>
      <c r="C152" t="s">
        <v>628</v>
      </c>
      <c r="D152" t="s">
        <v>901</v>
      </c>
    </row>
    <row r="153" spans="1:16">
      <c r="A153">
        <v>64</v>
      </c>
      <c r="B153" t="s">
        <v>681</v>
      </c>
      <c r="C153" t="s">
        <v>682</v>
      </c>
      <c r="D153" t="s">
        <v>411</v>
      </c>
      <c r="E153" t="s">
        <v>705</v>
      </c>
      <c r="G153" t="s">
        <v>100</v>
      </c>
      <c r="H153" t="s">
        <v>217</v>
      </c>
      <c r="I153">
        <v>132</v>
      </c>
      <c r="J153">
        <v>94</v>
      </c>
      <c r="K153">
        <v>9</v>
      </c>
      <c r="L153">
        <v>1</v>
      </c>
      <c r="M153" t="s">
        <v>101</v>
      </c>
      <c r="N153">
        <v>45390</v>
      </c>
      <c r="O153" t="s">
        <v>625</v>
      </c>
      <c r="P153" t="s">
        <v>571</v>
      </c>
    </row>
    <row r="154" spans="1:16">
      <c r="B154" t="s">
        <v>876</v>
      </c>
      <c r="C154" t="s">
        <v>877</v>
      </c>
      <c r="D154" t="s">
        <v>870</v>
      </c>
    </row>
    <row r="155" spans="1:16">
      <c r="B155" t="s">
        <v>915</v>
      </c>
      <c r="C155" t="s">
        <v>916</v>
      </c>
      <c r="D155" t="s">
        <v>880</v>
      </c>
    </row>
    <row r="156" spans="1:16">
      <c r="A156">
        <v>5</v>
      </c>
      <c r="B156" t="s">
        <v>258</v>
      </c>
      <c r="C156" t="s">
        <v>627</v>
      </c>
      <c r="D156" t="s">
        <v>49</v>
      </c>
      <c r="E156" t="s">
        <v>1604</v>
      </c>
      <c r="G156" t="s">
        <v>259</v>
      </c>
      <c r="H156" t="s">
        <v>260</v>
      </c>
      <c r="I156">
        <v>392</v>
      </c>
      <c r="J156">
        <v>1554</v>
      </c>
      <c r="K156">
        <v>244</v>
      </c>
      <c r="L156">
        <v>9</v>
      </c>
      <c r="M156" t="s">
        <v>101</v>
      </c>
      <c r="N156">
        <v>44701</v>
      </c>
      <c r="O156" t="s">
        <v>625</v>
      </c>
      <c r="P156" t="s">
        <v>547</v>
      </c>
    </row>
    <row r="157" spans="1:16">
      <c r="C157" s="7" t="s">
        <v>1721</v>
      </c>
      <c r="D157" s="22" t="s">
        <v>1719</v>
      </c>
    </row>
    <row r="158" spans="1:16">
      <c r="A158">
        <v>147</v>
      </c>
      <c r="B158" t="s">
        <v>806</v>
      </c>
      <c r="C158" t="s">
        <v>1675</v>
      </c>
      <c r="D158" t="s">
        <v>795</v>
      </c>
    </row>
    <row r="159" spans="1:16">
      <c r="B159" t="s">
        <v>1274</v>
      </c>
      <c r="C159" t="s">
        <v>1675</v>
      </c>
      <c r="D159" t="s">
        <v>1273</v>
      </c>
    </row>
    <row r="160" spans="1:16">
      <c r="C160" t="s">
        <v>1863</v>
      </c>
      <c r="D160" s="22" t="s">
        <v>1855</v>
      </c>
    </row>
    <row r="161" spans="1:5">
      <c r="B161" t="s">
        <v>873</v>
      </c>
      <c r="C161" t="s">
        <v>874</v>
      </c>
      <c r="D161" t="s">
        <v>868</v>
      </c>
    </row>
    <row r="162" spans="1:5">
      <c r="B162" t="s">
        <v>1005</v>
      </c>
      <c r="C162" t="s">
        <v>1006</v>
      </c>
      <c r="D162" t="s">
        <v>933</v>
      </c>
    </row>
    <row r="163" spans="1:5">
      <c r="B163" t="s">
        <v>985</v>
      </c>
      <c r="C163" t="s">
        <v>667</v>
      </c>
      <c r="D163" t="s">
        <v>738</v>
      </c>
    </row>
    <row r="164" spans="1:5">
      <c r="A164">
        <v>152</v>
      </c>
      <c r="B164" s="22" t="s">
        <v>1669</v>
      </c>
      <c r="C164" t="s">
        <v>930</v>
      </c>
      <c r="D164" s="22" t="s">
        <v>1184</v>
      </c>
    </row>
    <row r="165" spans="1:5">
      <c r="B165" t="s">
        <v>1142</v>
      </c>
      <c r="C165" t="s">
        <v>930</v>
      </c>
      <c r="D165" t="s">
        <v>1097</v>
      </c>
    </row>
    <row r="166" spans="1:5">
      <c r="B166" t="s">
        <v>1310</v>
      </c>
      <c r="C166" t="s">
        <v>930</v>
      </c>
      <c r="D166" t="s">
        <v>1309</v>
      </c>
    </row>
    <row r="167" spans="1:5">
      <c r="B167" t="s">
        <v>929</v>
      </c>
      <c r="C167" t="s">
        <v>930</v>
      </c>
      <c r="D167" t="s">
        <v>910</v>
      </c>
    </row>
    <row r="168" spans="1:5">
      <c r="B168" t="s">
        <v>912</v>
      </c>
      <c r="C168" t="s">
        <v>930</v>
      </c>
      <c r="D168" t="s">
        <v>911</v>
      </c>
    </row>
    <row r="169" spans="1:5">
      <c r="B169" t="s">
        <v>1351</v>
      </c>
      <c r="C169" t="s">
        <v>930</v>
      </c>
      <c r="D169" t="s">
        <v>1340</v>
      </c>
    </row>
    <row r="170" spans="1:5">
      <c r="B170" t="s">
        <v>1145</v>
      </c>
      <c r="C170" t="s">
        <v>930</v>
      </c>
      <c r="D170" t="s">
        <v>1127</v>
      </c>
    </row>
    <row r="171" spans="1:5">
      <c r="A171">
        <v>149</v>
      </c>
      <c r="B171" t="s">
        <v>809</v>
      </c>
      <c r="C171" t="s">
        <v>810</v>
      </c>
      <c r="D171" t="s">
        <v>797</v>
      </c>
    </row>
    <row r="172" spans="1:5">
      <c r="C172" t="str">
        <f>VLOOKUP(D172,products1!C:J,7,0)</f>
        <v>云米AI昆仑矿泉净水机 Super 2E 2500</v>
      </c>
      <c r="D172" s="56" t="s">
        <v>1850</v>
      </c>
    </row>
    <row r="173" spans="1:5">
      <c r="A173">
        <v>143</v>
      </c>
      <c r="B173" t="s">
        <v>791</v>
      </c>
      <c r="C173" t="s">
        <v>1588</v>
      </c>
      <c r="D173" t="s">
        <v>742</v>
      </c>
      <c r="E173" t="s">
        <v>790</v>
      </c>
    </row>
    <row r="174" spans="1:5">
      <c r="C174" t="s">
        <v>1864</v>
      </c>
      <c r="D174" s="56" t="s">
        <v>1857</v>
      </c>
    </row>
    <row r="175" spans="1:5">
      <c r="B175" t="s">
        <v>1358</v>
      </c>
      <c r="C175" t="s">
        <v>673</v>
      </c>
      <c r="D175" t="s">
        <v>1359</v>
      </c>
    </row>
    <row r="176" spans="1:5">
      <c r="B176" t="s">
        <v>1360</v>
      </c>
      <c r="C176" t="s">
        <v>671</v>
      </c>
      <c r="D176" t="s">
        <v>1361</v>
      </c>
    </row>
    <row r="177" spans="1:16">
      <c r="B177" t="s">
        <v>1362</v>
      </c>
      <c r="C177" t="s">
        <v>672</v>
      </c>
      <c r="D177" t="s">
        <v>1363</v>
      </c>
    </row>
    <row r="178" spans="1:16">
      <c r="A178">
        <v>142</v>
      </c>
      <c r="B178" t="s">
        <v>711</v>
      </c>
      <c r="C178" t="s">
        <v>665</v>
      </c>
      <c r="D178" t="s">
        <v>735</v>
      </c>
      <c r="E178" t="s">
        <v>789</v>
      </c>
    </row>
    <row r="179" spans="1:16">
      <c r="B179" t="s">
        <v>1322</v>
      </c>
      <c r="C179" t="s">
        <v>1676</v>
      </c>
      <c r="D179" t="s">
        <v>1321</v>
      </c>
    </row>
    <row r="180" spans="1:16">
      <c r="A180">
        <v>42</v>
      </c>
      <c r="B180" t="s">
        <v>294</v>
      </c>
      <c r="C180" t="s">
        <v>1587</v>
      </c>
      <c r="D180" t="s">
        <v>452</v>
      </c>
      <c r="E180" t="s">
        <v>1607</v>
      </c>
      <c r="G180" t="s">
        <v>295</v>
      </c>
      <c r="H180" t="s">
        <v>296</v>
      </c>
      <c r="I180">
        <v>193</v>
      </c>
      <c r="J180">
        <v>6508</v>
      </c>
      <c r="K180">
        <v>107313</v>
      </c>
      <c r="L180">
        <v>4</v>
      </c>
      <c r="M180" t="s">
        <v>101</v>
      </c>
      <c r="N180">
        <v>44340</v>
      </c>
      <c r="O180" t="s">
        <v>625</v>
      </c>
      <c r="P180" t="s">
        <v>563</v>
      </c>
    </row>
    <row r="181" spans="1:16">
      <c r="C181" t="str">
        <f>VLOOKUP(D181,products1!C:J,7,0)</f>
        <v>云米 AI净水器小海豚2，云米·泉先 AI冷热管线机 Super 2E</v>
      </c>
      <c r="D181" s="22" t="s">
        <v>1803</v>
      </c>
    </row>
    <row r="182" spans="1:16">
      <c r="A182">
        <v>21</v>
      </c>
      <c r="B182" t="s">
        <v>348</v>
      </c>
      <c r="C182" t="s">
        <v>837</v>
      </c>
      <c r="D182" t="s">
        <v>481</v>
      </c>
      <c r="E182" t="s">
        <v>1590</v>
      </c>
      <c r="G182" t="s">
        <v>100</v>
      </c>
      <c r="H182" t="s">
        <v>349</v>
      </c>
      <c r="I182">
        <v>1048</v>
      </c>
      <c r="J182">
        <v>211</v>
      </c>
      <c r="K182">
        <v>464</v>
      </c>
      <c r="L182">
        <v>18</v>
      </c>
      <c r="M182" t="s">
        <v>101</v>
      </c>
      <c r="N182">
        <v>44172</v>
      </c>
      <c r="O182" t="s">
        <v>678</v>
      </c>
      <c r="P182" t="s">
        <v>540</v>
      </c>
    </row>
    <row r="183" spans="1:16">
      <c r="A183">
        <v>30</v>
      </c>
      <c r="B183" t="s">
        <v>322</v>
      </c>
      <c r="C183" t="s">
        <v>837</v>
      </c>
      <c r="D183" t="s">
        <v>464</v>
      </c>
      <c r="E183" t="s">
        <v>82</v>
      </c>
      <c r="G183" t="s">
        <v>100</v>
      </c>
      <c r="H183" t="s">
        <v>323</v>
      </c>
      <c r="I183">
        <v>2958</v>
      </c>
      <c r="J183">
        <v>998</v>
      </c>
      <c r="K183">
        <v>4403</v>
      </c>
      <c r="L183">
        <v>9</v>
      </c>
      <c r="M183" t="s">
        <v>101</v>
      </c>
      <c r="N183">
        <v>44266</v>
      </c>
      <c r="O183" t="s">
        <v>678</v>
      </c>
      <c r="P183" t="s">
        <v>551</v>
      </c>
    </row>
    <row r="184" spans="1:16">
      <c r="A184">
        <v>7</v>
      </c>
      <c r="B184" t="s">
        <v>310</v>
      </c>
      <c r="C184" t="s">
        <v>837</v>
      </c>
      <c r="D184" t="s">
        <v>458</v>
      </c>
      <c r="E184" t="s">
        <v>1601</v>
      </c>
      <c r="G184" t="s">
        <v>100</v>
      </c>
      <c r="H184" t="s">
        <v>311</v>
      </c>
      <c r="I184">
        <v>1236</v>
      </c>
      <c r="J184">
        <v>3768</v>
      </c>
      <c r="K184">
        <v>11751</v>
      </c>
      <c r="L184">
        <v>258</v>
      </c>
      <c r="M184" t="s">
        <v>101</v>
      </c>
      <c r="N184">
        <v>44293</v>
      </c>
      <c r="O184" t="s">
        <v>614</v>
      </c>
      <c r="P184" t="s">
        <v>491</v>
      </c>
    </row>
    <row r="185" spans="1:16">
      <c r="B185" t="s">
        <v>919</v>
      </c>
      <c r="C185" t="s">
        <v>726</v>
      </c>
      <c r="D185" t="s">
        <v>755</v>
      </c>
    </row>
    <row r="186" spans="1:16">
      <c r="A186">
        <v>24</v>
      </c>
      <c r="B186" t="s">
        <v>303</v>
      </c>
      <c r="C186" t="s">
        <v>837</v>
      </c>
      <c r="D186" t="s">
        <v>455</v>
      </c>
      <c r="E186" t="s">
        <v>82</v>
      </c>
      <c r="G186" t="s">
        <v>100</v>
      </c>
      <c r="H186" t="s">
        <v>304</v>
      </c>
      <c r="I186">
        <v>1491</v>
      </c>
      <c r="J186">
        <v>1970</v>
      </c>
      <c r="K186">
        <v>4485</v>
      </c>
      <c r="L186">
        <v>12</v>
      </c>
      <c r="M186" t="s">
        <v>101</v>
      </c>
      <c r="N186">
        <v>44327</v>
      </c>
      <c r="O186" t="s">
        <v>678</v>
      </c>
      <c r="P186" t="s">
        <v>543</v>
      </c>
    </row>
    <row r="187" spans="1:16">
      <c r="A187">
        <v>40</v>
      </c>
      <c r="B187" t="s">
        <v>277</v>
      </c>
      <c r="C187" t="s">
        <v>837</v>
      </c>
      <c r="D187" t="s">
        <v>444</v>
      </c>
      <c r="E187" t="s">
        <v>1594</v>
      </c>
      <c r="G187" t="s">
        <v>100</v>
      </c>
      <c r="H187" t="s">
        <v>278</v>
      </c>
      <c r="I187">
        <v>2145</v>
      </c>
      <c r="J187">
        <v>558</v>
      </c>
      <c r="K187">
        <v>2180</v>
      </c>
      <c r="L187">
        <v>5</v>
      </c>
      <c r="M187" t="s">
        <v>101</v>
      </c>
      <c r="N187">
        <v>44491</v>
      </c>
      <c r="O187" t="s">
        <v>678</v>
      </c>
      <c r="P187" t="s">
        <v>560</v>
      </c>
    </row>
    <row r="188" spans="1:16">
      <c r="A188">
        <v>58</v>
      </c>
      <c r="B188" t="s">
        <v>274</v>
      </c>
      <c r="C188" t="s">
        <v>837</v>
      </c>
      <c r="D188" t="s">
        <v>442</v>
      </c>
      <c r="E188" t="s">
        <v>1591</v>
      </c>
      <c r="G188" t="s">
        <v>100</v>
      </c>
      <c r="H188" t="s">
        <v>275</v>
      </c>
      <c r="I188">
        <v>1860</v>
      </c>
      <c r="J188">
        <v>771</v>
      </c>
      <c r="K188">
        <v>33888</v>
      </c>
      <c r="L188">
        <v>2</v>
      </c>
      <c r="M188" t="s">
        <v>101</v>
      </c>
      <c r="N188">
        <v>44505</v>
      </c>
      <c r="O188" t="s">
        <v>678</v>
      </c>
      <c r="P188" t="s">
        <v>568</v>
      </c>
    </row>
    <row r="189" spans="1:16">
      <c r="A189">
        <v>8</v>
      </c>
      <c r="B189" t="s">
        <v>271</v>
      </c>
      <c r="C189" t="s">
        <v>837</v>
      </c>
      <c r="D189" t="s">
        <v>441</v>
      </c>
      <c r="E189" t="s">
        <v>1601</v>
      </c>
      <c r="G189" t="s">
        <v>272</v>
      </c>
      <c r="H189" t="s">
        <v>273</v>
      </c>
      <c r="I189">
        <v>898</v>
      </c>
      <c r="J189">
        <v>910</v>
      </c>
      <c r="K189">
        <v>4463</v>
      </c>
      <c r="L189">
        <v>194</v>
      </c>
      <c r="M189" t="s">
        <v>101</v>
      </c>
      <c r="N189">
        <v>44505</v>
      </c>
      <c r="O189" t="s">
        <v>614</v>
      </c>
      <c r="P189" t="s">
        <v>492</v>
      </c>
    </row>
    <row r="190" spans="1:16">
      <c r="B190" t="s">
        <v>1000</v>
      </c>
      <c r="C190" t="s">
        <v>726</v>
      </c>
      <c r="D190" t="s">
        <v>932</v>
      </c>
    </row>
    <row r="191" spans="1:16">
      <c r="B191" t="s">
        <v>941</v>
      </c>
      <c r="C191" t="s">
        <v>726</v>
      </c>
      <c r="D191" t="s">
        <v>940</v>
      </c>
    </row>
    <row r="192" spans="1:16">
      <c r="B192" t="s">
        <v>866</v>
      </c>
      <c r="C192" t="s">
        <v>837</v>
      </c>
      <c r="D192" t="s">
        <v>865</v>
      </c>
      <c r="E192" t="s">
        <v>1598</v>
      </c>
    </row>
    <row r="193" spans="2:4">
      <c r="B193" t="s">
        <v>951</v>
      </c>
      <c r="C193" t="s">
        <v>726</v>
      </c>
      <c r="D193" t="s">
        <v>950</v>
      </c>
    </row>
    <row r="194" spans="2:4">
      <c r="B194" t="s">
        <v>952</v>
      </c>
      <c r="C194" t="s">
        <v>726</v>
      </c>
      <c r="D194" t="s">
        <v>753</v>
      </c>
    </row>
    <row r="195" spans="2:4">
      <c r="B195" t="s">
        <v>1002</v>
      </c>
      <c r="C195" t="s">
        <v>726</v>
      </c>
      <c r="D195" t="s">
        <v>955</v>
      </c>
    </row>
    <row r="196" spans="2:4">
      <c r="B196" t="s">
        <v>1229</v>
      </c>
      <c r="C196" t="s">
        <v>726</v>
      </c>
      <c r="D196" t="s">
        <v>1228</v>
      </c>
    </row>
    <row r="197" spans="2:4">
      <c r="B197" t="s">
        <v>927</v>
      </c>
      <c r="C197" t="s">
        <v>726</v>
      </c>
      <c r="D197" t="s">
        <v>889</v>
      </c>
    </row>
    <row r="198" spans="2:4">
      <c r="B198" t="s">
        <v>1582</v>
      </c>
      <c r="C198" t="s">
        <v>726</v>
      </c>
      <c r="D198" t="s">
        <v>1368</v>
      </c>
    </row>
    <row r="199" spans="2:4">
      <c r="B199" t="s">
        <v>1369</v>
      </c>
      <c r="C199" t="s">
        <v>726</v>
      </c>
      <c r="D199" t="s">
        <v>1370</v>
      </c>
    </row>
    <row r="200" spans="2:4">
      <c r="B200" t="s">
        <v>1371</v>
      </c>
      <c r="C200" t="s">
        <v>726</v>
      </c>
      <c r="D200" t="s">
        <v>1372</v>
      </c>
    </row>
    <row r="201" spans="2:4">
      <c r="B201" t="s">
        <v>1373</v>
      </c>
      <c r="C201" t="s">
        <v>726</v>
      </c>
      <c r="D201" t="s">
        <v>1374</v>
      </c>
    </row>
    <row r="202" spans="2:4">
      <c r="B202" t="s">
        <v>1375</v>
      </c>
      <c r="C202" t="s">
        <v>726</v>
      </c>
      <c r="D202" t="s">
        <v>1376</v>
      </c>
    </row>
    <row r="203" spans="2:4">
      <c r="B203" t="s">
        <v>1377</v>
      </c>
      <c r="C203" t="s">
        <v>726</v>
      </c>
      <c r="D203" t="s">
        <v>1378</v>
      </c>
    </row>
    <row r="204" spans="2:4">
      <c r="B204" t="s">
        <v>1379</v>
      </c>
      <c r="C204" t="s">
        <v>726</v>
      </c>
      <c r="D204" t="s">
        <v>1380</v>
      </c>
    </row>
    <row r="205" spans="2:4">
      <c r="B205" t="s">
        <v>1381</v>
      </c>
      <c r="C205" t="s">
        <v>726</v>
      </c>
      <c r="D205" t="s">
        <v>1382</v>
      </c>
    </row>
    <row r="206" spans="2:4">
      <c r="B206" t="s">
        <v>1383</v>
      </c>
      <c r="C206" t="s">
        <v>726</v>
      </c>
      <c r="D206" t="s">
        <v>1384</v>
      </c>
    </row>
    <row r="207" spans="2:4">
      <c r="B207" t="s">
        <v>1387</v>
      </c>
      <c r="C207" t="s">
        <v>726</v>
      </c>
      <c r="D207" t="s">
        <v>1388</v>
      </c>
    </row>
    <row r="208" spans="2:4">
      <c r="B208" t="s">
        <v>1389</v>
      </c>
      <c r="C208" t="s">
        <v>726</v>
      </c>
      <c r="D208" t="s">
        <v>1390</v>
      </c>
    </row>
    <row r="209" spans="2:4">
      <c r="B209" t="s">
        <v>1391</v>
      </c>
      <c r="C209" t="s">
        <v>726</v>
      </c>
      <c r="D209" t="s">
        <v>1392</v>
      </c>
    </row>
    <row r="210" spans="2:4">
      <c r="B210" t="s">
        <v>1393</v>
      </c>
      <c r="C210" t="s">
        <v>726</v>
      </c>
      <c r="D210" t="s">
        <v>1394</v>
      </c>
    </row>
    <row r="211" spans="2:4">
      <c r="B211" t="s">
        <v>1395</v>
      </c>
      <c r="C211" t="s">
        <v>726</v>
      </c>
      <c r="D211" t="s">
        <v>1396</v>
      </c>
    </row>
    <row r="212" spans="2:4">
      <c r="B212" t="s">
        <v>1397</v>
      </c>
      <c r="C212" t="s">
        <v>726</v>
      </c>
      <c r="D212" t="s">
        <v>1398</v>
      </c>
    </row>
    <row r="213" spans="2:4">
      <c r="B213" t="s">
        <v>846</v>
      </c>
      <c r="C213" t="s">
        <v>837</v>
      </c>
      <c r="D213" t="s">
        <v>821</v>
      </c>
    </row>
    <row r="214" spans="2:4">
      <c r="B214" t="s">
        <v>1004</v>
      </c>
      <c r="C214" t="s">
        <v>726</v>
      </c>
      <c r="D214" t="s">
        <v>969</v>
      </c>
    </row>
    <row r="215" spans="2:4">
      <c r="B215" t="s">
        <v>973</v>
      </c>
      <c r="C215" t="s">
        <v>726</v>
      </c>
      <c r="D215" t="s">
        <v>972</v>
      </c>
    </row>
    <row r="216" spans="2:4">
      <c r="B216" t="s">
        <v>1019</v>
      </c>
      <c r="C216" t="s">
        <v>614</v>
      </c>
      <c r="D216" t="s">
        <v>1018</v>
      </c>
    </row>
    <row r="217" spans="2:4">
      <c r="B217" t="s">
        <v>974</v>
      </c>
      <c r="C217" t="s">
        <v>726</v>
      </c>
      <c r="D217" t="s">
        <v>751</v>
      </c>
    </row>
    <row r="218" spans="2:4">
      <c r="B218" t="s">
        <v>976</v>
      </c>
      <c r="C218" t="s">
        <v>726</v>
      </c>
      <c r="D218" t="s">
        <v>975</v>
      </c>
    </row>
    <row r="219" spans="2:4">
      <c r="B219" t="s">
        <v>1257</v>
      </c>
      <c r="C219" t="s">
        <v>726</v>
      </c>
      <c r="D219" t="s">
        <v>1256</v>
      </c>
    </row>
    <row r="220" spans="2:4">
      <c r="B220" t="s">
        <v>1403</v>
      </c>
      <c r="C220" t="s">
        <v>726</v>
      </c>
      <c r="D220" t="s">
        <v>1404</v>
      </c>
    </row>
    <row r="221" spans="2:4">
      <c r="B221" t="s">
        <v>1035</v>
      </c>
      <c r="C221" t="s">
        <v>614</v>
      </c>
      <c r="D221" t="s">
        <v>1034</v>
      </c>
    </row>
    <row r="222" spans="2:4">
      <c r="B222" t="s">
        <v>1405</v>
      </c>
      <c r="C222" t="s">
        <v>726</v>
      </c>
      <c r="D222" t="s">
        <v>1406</v>
      </c>
    </row>
    <row r="223" spans="2:4">
      <c r="B223" t="s">
        <v>1407</v>
      </c>
      <c r="C223" t="s">
        <v>726</v>
      </c>
      <c r="D223" t="s">
        <v>1408</v>
      </c>
    </row>
    <row r="224" spans="2:4">
      <c r="B224" t="s">
        <v>1409</v>
      </c>
      <c r="C224" t="s">
        <v>726</v>
      </c>
      <c r="D224" t="s">
        <v>1410</v>
      </c>
    </row>
    <row r="225" spans="2:4">
      <c r="B225" t="s">
        <v>863</v>
      </c>
      <c r="C225" t="s">
        <v>837</v>
      </c>
      <c r="D225" t="s">
        <v>835</v>
      </c>
    </row>
    <row r="226" spans="2:4">
      <c r="B226" t="s">
        <v>1037</v>
      </c>
      <c r="C226" t="s">
        <v>614</v>
      </c>
      <c r="D226" t="s">
        <v>1036</v>
      </c>
    </row>
    <row r="227" spans="2:4">
      <c r="B227" t="s">
        <v>1039</v>
      </c>
      <c r="C227" t="s">
        <v>614</v>
      </c>
      <c r="D227" t="s">
        <v>1038</v>
      </c>
    </row>
    <row r="228" spans="2:4">
      <c r="B228" t="s">
        <v>851</v>
      </c>
      <c r="C228" t="s">
        <v>837</v>
      </c>
      <c r="D228" t="s">
        <v>825</v>
      </c>
    </row>
    <row r="229" spans="2:4">
      <c r="B229" t="s">
        <v>1411</v>
      </c>
      <c r="C229" t="s">
        <v>726</v>
      </c>
      <c r="D229" t="s">
        <v>1412</v>
      </c>
    </row>
    <row r="230" spans="2:4">
      <c r="B230" t="s">
        <v>1413</v>
      </c>
      <c r="C230" t="s">
        <v>726</v>
      </c>
      <c r="D230" t="s">
        <v>1414</v>
      </c>
    </row>
    <row r="231" spans="2:4">
      <c r="B231" t="s">
        <v>1415</v>
      </c>
      <c r="C231" t="s">
        <v>726</v>
      </c>
      <c r="D231" t="s">
        <v>1416</v>
      </c>
    </row>
    <row r="232" spans="2:4">
      <c r="B232" t="s">
        <v>1417</v>
      </c>
      <c r="C232" t="s">
        <v>726</v>
      </c>
      <c r="D232" t="s">
        <v>1418</v>
      </c>
    </row>
    <row r="233" spans="2:4">
      <c r="B233" t="s">
        <v>1419</v>
      </c>
      <c r="C233" t="s">
        <v>726</v>
      </c>
      <c r="D233" t="s">
        <v>1420</v>
      </c>
    </row>
    <row r="234" spans="2:4">
      <c r="B234" t="s">
        <v>1421</v>
      </c>
      <c r="C234" t="s">
        <v>726</v>
      </c>
      <c r="D234" t="s">
        <v>1422</v>
      </c>
    </row>
    <row r="235" spans="2:4">
      <c r="B235" t="s">
        <v>1423</v>
      </c>
      <c r="C235" t="s">
        <v>726</v>
      </c>
      <c r="D235" t="s">
        <v>1424</v>
      </c>
    </row>
    <row r="236" spans="2:4">
      <c r="B236" t="s">
        <v>1041</v>
      </c>
      <c r="C236" t="s">
        <v>614</v>
      </c>
      <c r="D236" t="s">
        <v>1040</v>
      </c>
    </row>
    <row r="237" spans="2:4">
      <c r="B237" t="s">
        <v>1425</v>
      </c>
      <c r="C237" t="s">
        <v>726</v>
      </c>
      <c r="D237" t="s">
        <v>1426</v>
      </c>
    </row>
    <row r="238" spans="2:4">
      <c r="B238" t="s">
        <v>1043</v>
      </c>
      <c r="C238" t="s">
        <v>614</v>
      </c>
      <c r="D238" t="s">
        <v>1042</v>
      </c>
    </row>
    <row r="239" spans="2:4">
      <c r="B239" t="s">
        <v>850</v>
      </c>
      <c r="C239" t="s">
        <v>837</v>
      </c>
      <c r="D239" t="s">
        <v>824</v>
      </c>
    </row>
    <row r="240" spans="2:4">
      <c r="B240" t="s">
        <v>1427</v>
      </c>
      <c r="C240" t="s">
        <v>726</v>
      </c>
      <c r="D240" t="s">
        <v>1428</v>
      </c>
    </row>
    <row r="241" spans="2:4">
      <c r="B241" t="s">
        <v>1429</v>
      </c>
      <c r="C241" t="s">
        <v>726</v>
      </c>
      <c r="D241" t="s">
        <v>1430</v>
      </c>
    </row>
    <row r="242" spans="2:4">
      <c r="B242" t="s">
        <v>1431</v>
      </c>
      <c r="C242" t="s">
        <v>726</v>
      </c>
      <c r="D242" t="s">
        <v>1432</v>
      </c>
    </row>
    <row r="243" spans="2:4">
      <c r="B243" t="s">
        <v>1433</v>
      </c>
      <c r="C243" t="s">
        <v>726</v>
      </c>
      <c r="D243" t="s">
        <v>1434</v>
      </c>
    </row>
    <row r="244" spans="2:4">
      <c r="B244" t="s">
        <v>1048</v>
      </c>
      <c r="C244" t="s">
        <v>614</v>
      </c>
      <c r="D244" t="s">
        <v>1047</v>
      </c>
    </row>
    <row r="245" spans="2:4">
      <c r="B245" t="s">
        <v>1050</v>
      </c>
      <c r="C245" t="s">
        <v>614</v>
      </c>
      <c r="D245" t="s">
        <v>1049</v>
      </c>
    </row>
    <row r="246" spans="2:4">
      <c r="B246" t="s">
        <v>858</v>
      </c>
      <c r="C246" t="s">
        <v>837</v>
      </c>
      <c r="D246" t="s">
        <v>831</v>
      </c>
    </row>
    <row r="247" spans="2:4">
      <c r="B247" t="s">
        <v>856</v>
      </c>
      <c r="C247" t="s">
        <v>837</v>
      </c>
      <c r="D247" t="s">
        <v>829</v>
      </c>
    </row>
    <row r="248" spans="2:4">
      <c r="B248" t="s">
        <v>1343</v>
      </c>
      <c r="C248" t="s">
        <v>726</v>
      </c>
      <c r="D248" t="s">
        <v>1270</v>
      </c>
    </row>
    <row r="249" spans="2:4">
      <c r="B249" t="s">
        <v>861</v>
      </c>
      <c r="C249" t="s">
        <v>837</v>
      </c>
      <c r="D249" t="s">
        <v>834</v>
      </c>
    </row>
    <row r="250" spans="2:4">
      <c r="B250" t="s">
        <v>1436</v>
      </c>
      <c r="C250" t="s">
        <v>726</v>
      </c>
      <c r="D250" t="s">
        <v>1437</v>
      </c>
    </row>
    <row r="251" spans="2:4">
      <c r="B251" t="s">
        <v>1438</v>
      </c>
      <c r="C251" t="s">
        <v>726</v>
      </c>
      <c r="D251" t="s">
        <v>1439</v>
      </c>
    </row>
    <row r="252" spans="2:4">
      <c r="B252" t="s">
        <v>1440</v>
      </c>
      <c r="C252" t="s">
        <v>726</v>
      </c>
      <c r="D252" t="s">
        <v>1441</v>
      </c>
    </row>
    <row r="253" spans="2:4">
      <c r="B253" t="s">
        <v>1442</v>
      </c>
      <c r="C253" t="s">
        <v>726</v>
      </c>
      <c r="D253" t="s">
        <v>1443</v>
      </c>
    </row>
    <row r="254" spans="2:4">
      <c r="B254" t="s">
        <v>1444</v>
      </c>
      <c r="C254" t="s">
        <v>726</v>
      </c>
      <c r="D254" t="s">
        <v>1445</v>
      </c>
    </row>
    <row r="255" spans="2:4">
      <c r="B255" t="s">
        <v>1446</v>
      </c>
      <c r="C255" t="s">
        <v>726</v>
      </c>
      <c r="D255" t="s">
        <v>1447</v>
      </c>
    </row>
    <row r="256" spans="2:4">
      <c r="B256" t="s">
        <v>1448</v>
      </c>
      <c r="C256" t="s">
        <v>726</v>
      </c>
      <c r="D256" t="s">
        <v>1449</v>
      </c>
    </row>
    <row r="257" spans="2:4">
      <c r="B257" t="s">
        <v>1450</v>
      </c>
      <c r="C257" t="s">
        <v>726</v>
      </c>
      <c r="D257" t="s">
        <v>1451</v>
      </c>
    </row>
    <row r="258" spans="2:4">
      <c r="B258" t="s">
        <v>1452</v>
      </c>
      <c r="C258" t="s">
        <v>726</v>
      </c>
      <c r="D258" t="s">
        <v>1453</v>
      </c>
    </row>
    <row r="259" spans="2:4">
      <c r="B259" t="s">
        <v>1454</v>
      </c>
      <c r="C259" t="s">
        <v>726</v>
      </c>
      <c r="D259" t="s">
        <v>1455</v>
      </c>
    </row>
    <row r="260" spans="2:4">
      <c r="B260" t="s">
        <v>1456</v>
      </c>
      <c r="C260" t="s">
        <v>726</v>
      </c>
      <c r="D260" t="s">
        <v>1457</v>
      </c>
    </row>
    <row r="261" spans="2:4">
      <c r="B261" t="s">
        <v>1458</v>
      </c>
      <c r="C261" t="s">
        <v>726</v>
      </c>
      <c r="D261" t="s">
        <v>1459</v>
      </c>
    </row>
    <row r="262" spans="2:4">
      <c r="B262" t="s">
        <v>859</v>
      </c>
      <c r="C262" t="s">
        <v>837</v>
      </c>
      <c r="D262" t="s">
        <v>832</v>
      </c>
    </row>
    <row r="263" spans="2:4">
      <c r="B263" t="s">
        <v>1460</v>
      </c>
      <c r="C263" t="s">
        <v>726</v>
      </c>
      <c r="D263" t="s">
        <v>1461</v>
      </c>
    </row>
    <row r="264" spans="2:4">
      <c r="B264" t="s">
        <v>1462</v>
      </c>
      <c r="C264" t="s">
        <v>726</v>
      </c>
      <c r="D264" t="s">
        <v>1463</v>
      </c>
    </row>
    <row r="265" spans="2:4">
      <c r="B265" t="s">
        <v>1464</v>
      </c>
      <c r="C265" t="s">
        <v>726</v>
      </c>
      <c r="D265" t="s">
        <v>1465</v>
      </c>
    </row>
    <row r="266" spans="2:4">
      <c r="B266" t="s">
        <v>1466</v>
      </c>
      <c r="C266" t="s">
        <v>726</v>
      </c>
      <c r="D266" t="s">
        <v>1467</v>
      </c>
    </row>
    <row r="267" spans="2:4">
      <c r="B267" t="s">
        <v>1373</v>
      </c>
      <c r="C267" t="s">
        <v>726</v>
      </c>
      <c r="D267" t="s">
        <v>1468</v>
      </c>
    </row>
    <row r="268" spans="2:4">
      <c r="B268" t="s">
        <v>1284</v>
      </c>
      <c r="C268" t="s">
        <v>726</v>
      </c>
      <c r="D268" t="s">
        <v>1283</v>
      </c>
    </row>
    <row r="269" spans="2:4">
      <c r="B269" t="s">
        <v>1469</v>
      </c>
      <c r="C269" t="s">
        <v>726</v>
      </c>
      <c r="D269" t="s">
        <v>1470</v>
      </c>
    </row>
    <row r="270" spans="2:4">
      <c r="B270" t="s">
        <v>845</v>
      </c>
      <c r="C270" t="s">
        <v>837</v>
      </c>
      <c r="D270" t="s">
        <v>820</v>
      </c>
    </row>
    <row r="271" spans="2:4">
      <c r="B271" t="s">
        <v>847</v>
      </c>
      <c r="C271" t="s">
        <v>837</v>
      </c>
      <c r="D271" t="s">
        <v>822</v>
      </c>
    </row>
    <row r="272" spans="2:4">
      <c r="B272" t="s">
        <v>857</v>
      </c>
      <c r="C272" t="s">
        <v>837</v>
      </c>
      <c r="D272" t="s">
        <v>830</v>
      </c>
    </row>
    <row r="273" spans="2:4">
      <c r="B273" t="s">
        <v>843</v>
      </c>
      <c r="C273" t="s">
        <v>837</v>
      </c>
      <c r="D273" t="s">
        <v>819</v>
      </c>
    </row>
    <row r="274" spans="2:4">
      <c r="B274" t="s">
        <v>1471</v>
      </c>
      <c r="C274" t="s">
        <v>726</v>
      </c>
      <c r="D274" t="s">
        <v>1472</v>
      </c>
    </row>
    <row r="275" spans="2:4">
      <c r="B275" t="s">
        <v>1473</v>
      </c>
      <c r="C275" t="s">
        <v>726</v>
      </c>
      <c r="D275" t="s">
        <v>1474</v>
      </c>
    </row>
    <row r="276" spans="2:4">
      <c r="B276" t="s">
        <v>1475</v>
      </c>
      <c r="C276" t="s">
        <v>726</v>
      </c>
      <c r="D276" t="s">
        <v>1476</v>
      </c>
    </row>
    <row r="277" spans="2:4">
      <c r="B277" t="s">
        <v>1063</v>
      </c>
      <c r="C277" t="s">
        <v>614</v>
      </c>
      <c r="D277" t="s">
        <v>1062</v>
      </c>
    </row>
    <row r="278" spans="2:4">
      <c r="B278" t="s">
        <v>1477</v>
      </c>
      <c r="C278" t="s">
        <v>726</v>
      </c>
      <c r="D278" t="s">
        <v>1478</v>
      </c>
    </row>
    <row r="279" spans="2:4">
      <c r="B279" t="s">
        <v>271</v>
      </c>
      <c r="C279" t="s">
        <v>726</v>
      </c>
      <c r="D279" t="s">
        <v>1479</v>
      </c>
    </row>
    <row r="280" spans="2:4">
      <c r="B280" t="s">
        <v>1288</v>
      </c>
      <c r="C280" t="s">
        <v>726</v>
      </c>
      <c r="D280" t="s">
        <v>1287</v>
      </c>
    </row>
    <row r="281" spans="2:4">
      <c r="B281" t="s">
        <v>1480</v>
      </c>
      <c r="C281" t="s">
        <v>726</v>
      </c>
      <c r="D281" t="s">
        <v>1481</v>
      </c>
    </row>
    <row r="282" spans="2:4">
      <c r="B282" t="s">
        <v>849</v>
      </c>
      <c r="C282" t="s">
        <v>837</v>
      </c>
      <c r="D282" t="s">
        <v>823</v>
      </c>
    </row>
    <row r="283" spans="2:4">
      <c r="B283" t="s">
        <v>1482</v>
      </c>
      <c r="C283" t="s">
        <v>726</v>
      </c>
      <c r="D283" t="s">
        <v>1483</v>
      </c>
    </row>
    <row r="284" spans="2:4">
      <c r="B284" t="s">
        <v>855</v>
      </c>
      <c r="C284" t="s">
        <v>837</v>
      </c>
      <c r="D284" t="s">
        <v>828</v>
      </c>
    </row>
    <row r="285" spans="2:4">
      <c r="B285" t="s">
        <v>841</v>
      </c>
      <c r="C285" t="s">
        <v>726</v>
      </c>
      <c r="D285" t="s">
        <v>1484</v>
      </c>
    </row>
    <row r="286" spans="2:4">
      <c r="B286" t="s">
        <v>900</v>
      </c>
      <c r="C286" t="s">
        <v>726</v>
      </c>
      <c r="D286" t="s">
        <v>899</v>
      </c>
    </row>
    <row r="287" spans="2:4">
      <c r="B287" t="s">
        <v>1486</v>
      </c>
      <c r="C287" t="s">
        <v>726</v>
      </c>
      <c r="D287" t="s">
        <v>1487</v>
      </c>
    </row>
    <row r="288" spans="2:4">
      <c r="B288" t="s">
        <v>1488</v>
      </c>
      <c r="C288" t="s">
        <v>726</v>
      </c>
      <c r="D288" t="s">
        <v>1489</v>
      </c>
    </row>
    <row r="289" spans="2:4">
      <c r="B289" t="s">
        <v>1471</v>
      </c>
      <c r="C289" t="s">
        <v>726</v>
      </c>
      <c r="D289" t="s">
        <v>1490</v>
      </c>
    </row>
    <row r="290" spans="2:4">
      <c r="B290" t="s">
        <v>1442</v>
      </c>
      <c r="C290" t="s">
        <v>726</v>
      </c>
      <c r="D290" t="s">
        <v>1496</v>
      </c>
    </row>
    <row r="291" spans="2:4">
      <c r="B291" t="s">
        <v>1497</v>
      </c>
      <c r="C291" t="s">
        <v>726</v>
      </c>
      <c r="D291" t="s">
        <v>1498</v>
      </c>
    </row>
    <row r="292" spans="2:4">
      <c r="B292" t="s">
        <v>1499</v>
      </c>
      <c r="C292" t="s">
        <v>726</v>
      </c>
      <c r="D292" t="s">
        <v>1500</v>
      </c>
    </row>
    <row r="293" spans="2:4">
      <c r="B293" t="s">
        <v>1504</v>
      </c>
      <c r="C293" t="s">
        <v>726</v>
      </c>
      <c r="D293" t="s">
        <v>1505</v>
      </c>
    </row>
    <row r="294" spans="2:4">
      <c r="B294" t="s">
        <v>879</v>
      </c>
      <c r="C294" t="s">
        <v>726</v>
      </c>
      <c r="D294" t="s">
        <v>768</v>
      </c>
    </row>
    <row r="295" spans="2:4">
      <c r="B295" t="s">
        <v>1504</v>
      </c>
      <c r="C295" t="s">
        <v>726</v>
      </c>
      <c r="D295" t="s">
        <v>1506</v>
      </c>
    </row>
    <row r="296" spans="2:4">
      <c r="B296" t="s">
        <v>1507</v>
      </c>
      <c r="C296" t="s">
        <v>726</v>
      </c>
      <c r="D296" t="s">
        <v>1508</v>
      </c>
    </row>
    <row r="297" spans="2:4">
      <c r="B297" t="s">
        <v>1511</v>
      </c>
      <c r="C297" t="s">
        <v>726</v>
      </c>
      <c r="D297" t="s">
        <v>1512</v>
      </c>
    </row>
    <row r="298" spans="2:4">
      <c r="B298" t="s">
        <v>1511</v>
      </c>
      <c r="C298" t="s">
        <v>726</v>
      </c>
      <c r="D298" t="s">
        <v>1513</v>
      </c>
    </row>
    <row r="299" spans="2:4">
      <c r="B299" t="s">
        <v>841</v>
      </c>
      <c r="C299" t="s">
        <v>726</v>
      </c>
      <c r="D299" t="s">
        <v>1514</v>
      </c>
    </row>
    <row r="300" spans="2:4">
      <c r="B300" t="s">
        <v>1515</v>
      </c>
      <c r="C300" t="s">
        <v>726</v>
      </c>
      <c r="D300" t="s">
        <v>1516</v>
      </c>
    </row>
    <row r="301" spans="2:4">
      <c r="B301" t="s">
        <v>1511</v>
      </c>
      <c r="C301" t="s">
        <v>726</v>
      </c>
      <c r="D301" t="s">
        <v>1517</v>
      </c>
    </row>
    <row r="302" spans="2:4">
      <c r="B302" t="s">
        <v>1518</v>
      </c>
      <c r="C302" t="s">
        <v>726</v>
      </c>
      <c r="D302" t="s">
        <v>1519</v>
      </c>
    </row>
    <row r="303" spans="2:4">
      <c r="B303" t="s">
        <v>839</v>
      </c>
      <c r="C303" t="s">
        <v>837</v>
      </c>
      <c r="D303" t="s">
        <v>817</v>
      </c>
    </row>
    <row r="304" spans="2:4">
      <c r="B304" t="s">
        <v>840</v>
      </c>
      <c r="C304" t="s">
        <v>837</v>
      </c>
      <c r="D304" t="s">
        <v>818</v>
      </c>
    </row>
    <row r="305" spans="2:4">
      <c r="B305" t="s">
        <v>1504</v>
      </c>
      <c r="C305" t="s">
        <v>726</v>
      </c>
      <c r="D305" t="s">
        <v>1521</v>
      </c>
    </row>
    <row r="306" spans="2:4">
      <c r="B306" t="s">
        <v>842</v>
      </c>
      <c r="C306" t="s">
        <v>837</v>
      </c>
      <c r="D306" t="s">
        <v>756</v>
      </c>
    </row>
    <row r="307" spans="2:4">
      <c r="B307" t="s">
        <v>1462</v>
      </c>
      <c r="C307" t="s">
        <v>726</v>
      </c>
      <c r="D307" t="s">
        <v>1522</v>
      </c>
    </row>
    <row r="308" spans="2:4">
      <c r="B308" t="s">
        <v>1523</v>
      </c>
      <c r="C308" t="s">
        <v>726</v>
      </c>
      <c r="D308" t="s">
        <v>1524</v>
      </c>
    </row>
    <row r="309" spans="2:4">
      <c r="B309" t="s">
        <v>1518</v>
      </c>
      <c r="C309" t="s">
        <v>726</v>
      </c>
      <c r="D309" t="s">
        <v>1525</v>
      </c>
    </row>
    <row r="310" spans="2:4">
      <c r="B310" t="s">
        <v>903</v>
      </c>
      <c r="C310" t="s">
        <v>726</v>
      </c>
      <c r="D310" t="s">
        <v>754</v>
      </c>
    </row>
    <row r="311" spans="2:4">
      <c r="B311" t="s">
        <v>1526</v>
      </c>
      <c r="C311" t="s">
        <v>726</v>
      </c>
      <c r="D311" t="s">
        <v>1527</v>
      </c>
    </row>
    <row r="312" spans="2:4">
      <c r="B312" t="s">
        <v>854</v>
      </c>
      <c r="C312" t="s">
        <v>837</v>
      </c>
      <c r="D312" t="s">
        <v>752</v>
      </c>
    </row>
    <row r="313" spans="2:4">
      <c r="B313" t="s">
        <v>1528</v>
      </c>
      <c r="C313" t="s">
        <v>726</v>
      </c>
      <c r="D313" t="s">
        <v>1529</v>
      </c>
    </row>
    <row r="314" spans="2:4">
      <c r="B314" t="s">
        <v>1530</v>
      </c>
      <c r="C314" t="s">
        <v>726</v>
      </c>
      <c r="D314" t="s">
        <v>1531</v>
      </c>
    </row>
    <row r="315" spans="2:4">
      <c r="B315" t="s">
        <v>1532</v>
      </c>
      <c r="C315" t="s">
        <v>726</v>
      </c>
      <c r="D315" t="s">
        <v>1533</v>
      </c>
    </row>
    <row r="316" spans="2:4">
      <c r="B316" t="s">
        <v>1534</v>
      </c>
      <c r="C316" t="s">
        <v>726</v>
      </c>
      <c r="D316" t="s">
        <v>1535</v>
      </c>
    </row>
    <row r="317" spans="2:4">
      <c r="B317" t="s">
        <v>1536</v>
      </c>
      <c r="C317" t="s">
        <v>726</v>
      </c>
      <c r="D317" t="s">
        <v>1537</v>
      </c>
    </row>
    <row r="318" spans="2:4">
      <c r="B318" t="s">
        <v>1538</v>
      </c>
      <c r="C318" t="s">
        <v>726</v>
      </c>
      <c r="D318" t="s">
        <v>1539</v>
      </c>
    </row>
    <row r="319" spans="2:4">
      <c r="B319" t="s">
        <v>1540</v>
      </c>
      <c r="C319" t="s">
        <v>726</v>
      </c>
      <c r="D319" t="s">
        <v>1541</v>
      </c>
    </row>
    <row r="320" spans="2:4">
      <c r="B320" t="s">
        <v>860</v>
      </c>
      <c r="C320" t="s">
        <v>837</v>
      </c>
      <c r="D320" t="s">
        <v>833</v>
      </c>
    </row>
    <row r="321" spans="1:4">
      <c r="B321" t="s">
        <v>1318</v>
      </c>
      <c r="C321" t="s">
        <v>726</v>
      </c>
      <c r="D321" t="s">
        <v>1317</v>
      </c>
    </row>
    <row r="322" spans="1:4">
      <c r="B322" t="s">
        <v>1543</v>
      </c>
      <c r="C322" t="s">
        <v>726</v>
      </c>
      <c r="D322" t="s">
        <v>1544</v>
      </c>
    </row>
    <row r="323" spans="1:4">
      <c r="A323">
        <v>155</v>
      </c>
      <c r="B323" t="s">
        <v>838</v>
      </c>
      <c r="C323" t="s">
        <v>837</v>
      </c>
      <c r="D323" t="s">
        <v>759</v>
      </c>
    </row>
    <row r="324" spans="1:4">
      <c r="B324" t="s">
        <v>1545</v>
      </c>
      <c r="C324" t="s">
        <v>726</v>
      </c>
      <c r="D324" t="s">
        <v>1546</v>
      </c>
    </row>
    <row r="325" spans="1:4">
      <c r="B325" t="s">
        <v>841</v>
      </c>
      <c r="C325" t="s">
        <v>837</v>
      </c>
      <c r="D325" t="s">
        <v>760</v>
      </c>
    </row>
    <row r="326" spans="1:4">
      <c r="B326" t="s">
        <v>864</v>
      </c>
      <c r="C326" t="s">
        <v>837</v>
      </c>
      <c r="D326" t="s">
        <v>836</v>
      </c>
    </row>
    <row r="327" spans="1:4">
      <c r="B327" t="s">
        <v>853</v>
      </c>
      <c r="C327" t="s">
        <v>837</v>
      </c>
      <c r="D327" t="s">
        <v>827</v>
      </c>
    </row>
    <row r="328" spans="1:4">
      <c r="B328" t="s">
        <v>848</v>
      </c>
      <c r="C328" t="s">
        <v>837</v>
      </c>
      <c r="D328" t="s">
        <v>749</v>
      </c>
    </row>
    <row r="329" spans="1:4">
      <c r="B329" t="s">
        <v>1326</v>
      </c>
      <c r="C329" t="s">
        <v>726</v>
      </c>
      <c r="D329" t="s">
        <v>1325</v>
      </c>
    </row>
    <row r="330" spans="1:4">
      <c r="B330" t="s">
        <v>1109</v>
      </c>
      <c r="C330" t="s">
        <v>614</v>
      </c>
      <c r="D330" t="s">
        <v>1108</v>
      </c>
    </row>
    <row r="331" spans="1:4">
      <c r="B331" t="s">
        <v>1111</v>
      </c>
      <c r="C331" t="s">
        <v>614</v>
      </c>
      <c r="D331" t="s">
        <v>1110</v>
      </c>
    </row>
    <row r="332" spans="1:4">
      <c r="B332" t="s">
        <v>862</v>
      </c>
      <c r="C332" t="s">
        <v>837</v>
      </c>
      <c r="D332" t="s">
        <v>762</v>
      </c>
    </row>
    <row r="333" spans="1:4">
      <c r="B333" t="s">
        <v>1115</v>
      </c>
      <c r="C333" t="s">
        <v>614</v>
      </c>
      <c r="D333" t="s">
        <v>1114</v>
      </c>
    </row>
    <row r="334" spans="1:4">
      <c r="B334" t="s">
        <v>271</v>
      </c>
      <c r="C334" t="s">
        <v>726</v>
      </c>
      <c r="D334" t="s">
        <v>1557</v>
      </c>
    </row>
    <row r="335" spans="1:4">
      <c r="B335" t="s">
        <v>1419</v>
      </c>
      <c r="C335" t="s">
        <v>726</v>
      </c>
      <c r="D335" t="s">
        <v>1558</v>
      </c>
    </row>
    <row r="336" spans="1:4">
      <c r="B336" t="s">
        <v>1123</v>
      </c>
      <c r="C336" t="s">
        <v>614</v>
      </c>
      <c r="D336" t="s">
        <v>1122</v>
      </c>
    </row>
    <row r="337" spans="1:16">
      <c r="A337">
        <v>57</v>
      </c>
      <c r="B337" t="s">
        <v>102</v>
      </c>
      <c r="C337" t="s">
        <v>837</v>
      </c>
      <c r="D337" t="s">
        <v>354</v>
      </c>
      <c r="E337" t="s">
        <v>484</v>
      </c>
      <c r="G337" t="s">
        <v>103</v>
      </c>
      <c r="H337">
        <v>599</v>
      </c>
      <c r="I337">
        <v>8</v>
      </c>
      <c r="J337">
        <v>6</v>
      </c>
      <c r="K337">
        <v>2</v>
      </c>
      <c r="L337">
        <v>2</v>
      </c>
      <c r="M337" t="s">
        <v>101</v>
      </c>
      <c r="N337">
        <v>45918</v>
      </c>
      <c r="O337" t="s">
        <v>678</v>
      </c>
      <c r="P337" t="s">
        <v>565</v>
      </c>
    </row>
    <row r="338" spans="1:16">
      <c r="B338" t="s">
        <v>1559</v>
      </c>
      <c r="C338" t="s">
        <v>726</v>
      </c>
      <c r="D338" t="s">
        <v>1560</v>
      </c>
    </row>
    <row r="339" spans="1:16">
      <c r="B339" t="s">
        <v>1561</v>
      </c>
      <c r="C339" t="s">
        <v>726</v>
      </c>
      <c r="D339" t="s">
        <v>1562</v>
      </c>
    </row>
    <row r="340" spans="1:16">
      <c r="B340" t="s">
        <v>914</v>
      </c>
      <c r="C340" t="s">
        <v>726</v>
      </c>
      <c r="D340" t="s">
        <v>913</v>
      </c>
    </row>
    <row r="341" spans="1:16">
      <c r="B341" t="s">
        <v>1563</v>
      </c>
      <c r="C341" t="s">
        <v>726</v>
      </c>
      <c r="D341" t="s">
        <v>1564</v>
      </c>
    </row>
    <row r="342" spans="1:16">
      <c r="B342" t="s">
        <v>1543</v>
      </c>
      <c r="C342" t="s">
        <v>726</v>
      </c>
      <c r="D342" t="s">
        <v>1565</v>
      </c>
    </row>
    <row r="343" spans="1:16">
      <c r="B343" t="s">
        <v>852</v>
      </c>
      <c r="C343" t="s">
        <v>837</v>
      </c>
      <c r="D343" t="s">
        <v>826</v>
      </c>
    </row>
    <row r="344" spans="1:16">
      <c r="B344" t="s">
        <v>1561</v>
      </c>
      <c r="C344" t="s">
        <v>726</v>
      </c>
      <c r="D344" t="s">
        <v>1566</v>
      </c>
    </row>
    <row r="345" spans="1:16">
      <c r="B345" t="s">
        <v>1561</v>
      </c>
      <c r="C345" t="s">
        <v>726</v>
      </c>
      <c r="D345" t="s">
        <v>1567</v>
      </c>
    </row>
    <row r="346" spans="1:16">
      <c r="B346" t="s">
        <v>1568</v>
      </c>
      <c r="C346" t="s">
        <v>726</v>
      </c>
      <c r="D346" t="s">
        <v>1569</v>
      </c>
    </row>
    <row r="347" spans="1:16">
      <c r="B347" t="s">
        <v>1570</v>
      </c>
      <c r="C347" t="s">
        <v>726</v>
      </c>
      <c r="D347" t="s">
        <v>1571</v>
      </c>
    </row>
    <row r="348" spans="1:16">
      <c r="B348" t="s">
        <v>1570</v>
      </c>
      <c r="C348" t="s">
        <v>726</v>
      </c>
      <c r="D348" t="s">
        <v>1572</v>
      </c>
    </row>
    <row r="349" spans="1:16">
      <c r="B349" t="s">
        <v>1573</v>
      </c>
      <c r="C349" t="s">
        <v>726</v>
      </c>
      <c r="D349" t="s">
        <v>1574</v>
      </c>
    </row>
    <row r="350" spans="1:16">
      <c r="B350" t="s">
        <v>1573</v>
      </c>
      <c r="C350" t="s">
        <v>726</v>
      </c>
      <c r="D350" t="s">
        <v>1575</v>
      </c>
    </row>
    <row r="351" spans="1:16">
      <c r="B351" t="s">
        <v>1383</v>
      </c>
      <c r="C351" t="s">
        <v>726</v>
      </c>
      <c r="D351" t="s">
        <v>1576</v>
      </c>
    </row>
    <row r="352" spans="1:16">
      <c r="B352" t="s">
        <v>1383</v>
      </c>
      <c r="C352" t="s">
        <v>726</v>
      </c>
      <c r="D352" t="s">
        <v>1577</v>
      </c>
    </row>
    <row r="353" spans="1:16">
      <c r="B353" t="s">
        <v>1389</v>
      </c>
      <c r="C353" t="s">
        <v>726</v>
      </c>
      <c r="D353" t="s">
        <v>1578</v>
      </c>
    </row>
    <row r="354" spans="1:16">
      <c r="B354" t="s">
        <v>1389</v>
      </c>
      <c r="C354" t="s">
        <v>726</v>
      </c>
      <c r="D354" t="s">
        <v>1579</v>
      </c>
    </row>
    <row r="355" spans="1:16">
      <c r="B355" t="s">
        <v>1377</v>
      </c>
      <c r="C355" t="s">
        <v>726</v>
      </c>
      <c r="D355" t="s">
        <v>1580</v>
      </c>
    </row>
    <row r="356" spans="1:16">
      <c r="B356" t="s">
        <v>1377</v>
      </c>
      <c r="C356" t="s">
        <v>726</v>
      </c>
      <c r="D356" t="s">
        <v>1581</v>
      </c>
    </row>
    <row r="357" spans="1:16">
      <c r="C357" s="7" t="s">
        <v>1853</v>
      </c>
      <c r="D357" s="56" t="s">
        <v>1851</v>
      </c>
    </row>
    <row r="358" spans="1:16">
      <c r="A358">
        <v>78</v>
      </c>
      <c r="B358" t="s">
        <v>221</v>
      </c>
      <c r="C358" t="s">
        <v>686</v>
      </c>
      <c r="D358" t="s">
        <v>414</v>
      </c>
      <c r="E358" t="s">
        <v>47</v>
      </c>
      <c r="G358" t="s">
        <v>103</v>
      </c>
      <c r="H358">
        <v>599</v>
      </c>
      <c r="I358">
        <v>95</v>
      </c>
      <c r="J358">
        <v>19</v>
      </c>
      <c r="K358">
        <v>1</v>
      </c>
      <c r="L358">
        <v>0</v>
      </c>
      <c r="M358" t="s">
        <v>101</v>
      </c>
      <c r="N358">
        <v>45285</v>
      </c>
      <c r="O358" t="s">
        <v>625</v>
      </c>
      <c r="P358" t="s">
        <v>589</v>
      </c>
    </row>
    <row r="359" spans="1:16">
      <c r="B359" t="s">
        <v>935</v>
      </c>
      <c r="C359" t="s">
        <v>633</v>
      </c>
      <c r="D359" t="s">
        <v>934</v>
      </c>
    </row>
    <row r="360" spans="1:16">
      <c r="B360" t="s">
        <v>1003</v>
      </c>
      <c r="C360" t="s">
        <v>633</v>
      </c>
      <c r="D360" t="s">
        <v>739</v>
      </c>
    </row>
    <row r="361" spans="1:16">
      <c r="B361" t="s">
        <v>926</v>
      </c>
      <c r="C361" t="s">
        <v>633</v>
      </c>
      <c r="D361" t="s">
        <v>888</v>
      </c>
    </row>
    <row r="362" spans="1:16">
      <c r="B362" t="s">
        <v>1231</v>
      </c>
      <c r="C362" t="s">
        <v>633</v>
      </c>
      <c r="D362" t="s">
        <v>1230</v>
      </c>
    </row>
    <row r="363" spans="1:16">
      <c r="B363" t="s">
        <v>1245</v>
      </c>
      <c r="C363" t="s">
        <v>633</v>
      </c>
      <c r="D363" t="s">
        <v>1244</v>
      </c>
    </row>
    <row r="364" spans="1:16">
      <c r="B364" t="s">
        <v>1352</v>
      </c>
      <c r="C364" t="s">
        <v>633</v>
      </c>
      <c r="D364" t="s">
        <v>1250</v>
      </c>
    </row>
    <row r="365" spans="1:16">
      <c r="B365" t="s">
        <v>1149</v>
      </c>
      <c r="C365" t="s">
        <v>633</v>
      </c>
      <c r="D365" t="s">
        <v>1011</v>
      </c>
    </row>
    <row r="366" spans="1:16">
      <c r="B366" t="s">
        <v>978</v>
      </c>
      <c r="C366" t="s">
        <v>633</v>
      </c>
      <c r="D366" t="s">
        <v>977</v>
      </c>
    </row>
    <row r="367" spans="1:16">
      <c r="B367" t="s">
        <v>1012</v>
      </c>
      <c r="C367" t="s">
        <v>633</v>
      </c>
      <c r="D367" t="s">
        <v>1031</v>
      </c>
    </row>
    <row r="368" spans="1:16">
      <c r="B368" t="s">
        <v>1181</v>
      </c>
      <c r="C368" t="s">
        <v>633</v>
      </c>
      <c r="D368" t="s">
        <v>1182</v>
      </c>
    </row>
    <row r="369" spans="1:16">
      <c r="B369" t="s">
        <v>1012</v>
      </c>
      <c r="C369" t="s">
        <v>633</v>
      </c>
      <c r="D369" t="s">
        <v>1060</v>
      </c>
    </row>
    <row r="370" spans="1:16">
      <c r="B370" t="s">
        <v>909</v>
      </c>
      <c r="C370" t="s">
        <v>633</v>
      </c>
      <c r="D370" t="s">
        <v>908</v>
      </c>
    </row>
    <row r="371" spans="1:16">
      <c r="B371" t="s">
        <v>1003</v>
      </c>
      <c r="C371" t="s">
        <v>668</v>
      </c>
      <c r="D371" t="s">
        <v>731</v>
      </c>
    </row>
    <row r="372" spans="1:16">
      <c r="A372">
        <v>62</v>
      </c>
      <c r="B372" t="s">
        <v>305</v>
      </c>
      <c r="C372" t="s">
        <v>680</v>
      </c>
      <c r="D372" t="s">
        <v>456</v>
      </c>
      <c r="E372" t="s">
        <v>48</v>
      </c>
      <c r="G372" t="s">
        <v>113</v>
      </c>
      <c r="H372" t="s">
        <v>306</v>
      </c>
      <c r="I372">
        <v>40</v>
      </c>
      <c r="J372">
        <v>935</v>
      </c>
      <c r="K372">
        <v>303</v>
      </c>
      <c r="L372">
        <v>1</v>
      </c>
      <c r="M372" t="s">
        <v>101</v>
      </c>
      <c r="N372">
        <v>44326</v>
      </c>
      <c r="O372" t="s">
        <v>625</v>
      </c>
      <c r="P372" t="s">
        <v>572</v>
      </c>
    </row>
    <row r="373" spans="1:16">
      <c r="B373" t="s">
        <v>854</v>
      </c>
      <c r="C373" t="s">
        <v>670</v>
      </c>
      <c r="D373" t="s">
        <v>750</v>
      </c>
    </row>
    <row r="374" spans="1:16">
      <c r="A374">
        <v>145</v>
      </c>
      <c r="B374" t="s">
        <v>805</v>
      </c>
      <c r="C374" t="s">
        <v>676</v>
      </c>
      <c r="D374" t="s">
        <v>727</v>
      </c>
    </row>
    <row r="375" spans="1:16">
      <c r="C375" t="str">
        <f>VLOOKUP(D375,products1!C:J,7,0)</f>
        <v>云米AI净水器Super 2Y 1200G</v>
      </c>
      <c r="D375" s="22" t="s">
        <v>1852</v>
      </c>
    </row>
    <row r="376" spans="1:16">
      <c r="A376">
        <v>152</v>
      </c>
      <c r="B376" t="s">
        <v>814</v>
      </c>
      <c r="C376" t="s">
        <v>674</v>
      </c>
      <c r="D376" t="s">
        <v>801</v>
      </c>
    </row>
    <row r="377" spans="1:16">
      <c r="B377" t="s">
        <v>844</v>
      </c>
      <c r="C377" t="s">
        <v>1589</v>
      </c>
      <c r="D377" t="s">
        <v>761</v>
      </c>
    </row>
    <row r="378" spans="1:16">
      <c r="B378" t="s">
        <v>867</v>
      </c>
      <c r="C378" t="s">
        <v>630</v>
      </c>
      <c r="D378" t="s">
        <v>872</v>
      </c>
    </row>
    <row r="379" spans="1:16">
      <c r="B379" t="s">
        <v>875</v>
      </c>
      <c r="C379" t="s">
        <v>928</v>
      </c>
      <c r="D379" t="s">
        <v>869</v>
      </c>
    </row>
    <row r="380" spans="1:16">
      <c r="C380" s="7" t="s">
        <v>1854</v>
      </c>
      <c r="D380" s="22" t="s">
        <v>1847</v>
      </c>
    </row>
    <row r="381" spans="1:16">
      <c r="A381">
        <v>6</v>
      </c>
      <c r="B381" t="s">
        <v>350</v>
      </c>
      <c r="C381" t="s">
        <v>616</v>
      </c>
      <c r="D381" t="s">
        <v>482</v>
      </c>
      <c r="E381" t="s">
        <v>1593</v>
      </c>
      <c r="G381" t="s">
        <v>100</v>
      </c>
      <c r="H381">
        <v>1099</v>
      </c>
      <c r="I381">
        <v>750</v>
      </c>
      <c r="J381">
        <v>78582</v>
      </c>
      <c r="K381">
        <v>31852</v>
      </c>
      <c r="L381">
        <v>1</v>
      </c>
      <c r="M381" t="s">
        <v>101</v>
      </c>
      <c r="N381">
        <v>44172</v>
      </c>
      <c r="O381" t="s">
        <v>625</v>
      </c>
      <c r="P381" t="s">
        <v>582</v>
      </c>
    </row>
    <row r="382" spans="1:16">
      <c r="A382">
        <v>2</v>
      </c>
      <c r="B382" t="s">
        <v>301</v>
      </c>
      <c r="C382" t="s">
        <v>616</v>
      </c>
      <c r="D382" t="s">
        <v>769</v>
      </c>
      <c r="E382" t="s">
        <v>44</v>
      </c>
      <c r="F382" t="s">
        <v>770</v>
      </c>
      <c r="G382" t="s">
        <v>692</v>
      </c>
      <c r="H382" t="s">
        <v>302</v>
      </c>
      <c r="I382">
        <v>87</v>
      </c>
      <c r="J382">
        <v>2011</v>
      </c>
      <c r="K382">
        <v>552</v>
      </c>
      <c r="L382">
        <v>68</v>
      </c>
      <c r="M382" t="s">
        <v>101</v>
      </c>
      <c r="N382">
        <v>44330</v>
      </c>
      <c r="O382" t="s">
        <v>625</v>
      </c>
      <c r="P382" t="s">
        <v>495</v>
      </c>
    </row>
    <row r="383" spans="1:16">
      <c r="A383">
        <v>41</v>
      </c>
      <c r="B383" t="s">
        <v>269</v>
      </c>
      <c r="C383" t="s">
        <v>691</v>
      </c>
      <c r="D383" t="s">
        <v>714</v>
      </c>
      <c r="E383" t="s">
        <v>1599</v>
      </c>
      <c r="G383" t="s">
        <v>100</v>
      </c>
      <c r="H383" t="s">
        <v>270</v>
      </c>
      <c r="I383">
        <v>480</v>
      </c>
      <c r="J383">
        <v>2210</v>
      </c>
      <c r="K383">
        <v>105407</v>
      </c>
      <c r="L383">
        <v>4</v>
      </c>
      <c r="M383" t="s">
        <v>101</v>
      </c>
      <c r="N383">
        <v>44536</v>
      </c>
      <c r="O383" t="s">
        <v>625</v>
      </c>
      <c r="P383" t="s">
        <v>562</v>
      </c>
    </row>
    <row r="384" spans="1:16">
      <c r="B384" t="s">
        <v>1255</v>
      </c>
      <c r="C384" t="s">
        <v>616</v>
      </c>
      <c r="D384" t="s">
        <v>1254</v>
      </c>
    </row>
    <row r="385" spans="1:16">
      <c r="B385" t="s">
        <v>1010</v>
      </c>
      <c r="C385" t="s">
        <v>616</v>
      </c>
      <c r="D385" t="s">
        <v>1009</v>
      </c>
    </row>
    <row r="386" spans="1:16">
      <c r="B386" t="s">
        <v>1045</v>
      </c>
      <c r="C386" t="s">
        <v>616</v>
      </c>
      <c r="D386" t="s">
        <v>1044</v>
      </c>
    </row>
    <row r="387" spans="1:16">
      <c r="B387" t="s">
        <v>1296</v>
      </c>
      <c r="C387" t="s">
        <v>616</v>
      </c>
      <c r="D387" t="s">
        <v>1295</v>
      </c>
    </row>
    <row r="388" spans="1:16">
      <c r="B388" t="s">
        <v>269</v>
      </c>
      <c r="C388" t="s">
        <v>616</v>
      </c>
      <c r="D388" t="s">
        <v>1341</v>
      </c>
      <c r="E388" s="26" t="s">
        <v>1709</v>
      </c>
    </row>
    <row r="389" spans="1:16">
      <c r="B389" t="s">
        <v>1366</v>
      </c>
      <c r="C389" t="s">
        <v>1677</v>
      </c>
      <c r="D389" t="s">
        <v>1367</v>
      </c>
    </row>
    <row r="390" spans="1:16">
      <c r="B390" t="s">
        <v>1364</v>
      </c>
      <c r="C390" t="s">
        <v>1677</v>
      </c>
      <c r="D390" t="s">
        <v>1365</v>
      </c>
    </row>
    <row r="391" spans="1:16">
      <c r="B391" t="s">
        <v>1202</v>
      </c>
      <c r="C391" t="s">
        <v>46</v>
      </c>
      <c r="D391" t="s">
        <v>1201</v>
      </c>
    </row>
    <row r="392" spans="1:16">
      <c r="A392">
        <v>3</v>
      </c>
      <c r="B392" t="s">
        <v>321</v>
      </c>
      <c r="C392" t="s">
        <v>46</v>
      </c>
      <c r="D392" t="s">
        <v>715</v>
      </c>
      <c r="E392" t="s">
        <v>1602</v>
      </c>
      <c r="F392">
        <v>22180</v>
      </c>
      <c r="G392" t="s">
        <v>693</v>
      </c>
      <c r="H392" t="s">
        <v>713</v>
      </c>
      <c r="I392">
        <v>105</v>
      </c>
      <c r="J392">
        <v>40628</v>
      </c>
      <c r="K392">
        <v>19794</v>
      </c>
      <c r="L392">
        <v>570</v>
      </c>
      <c r="M392" t="s">
        <v>101</v>
      </c>
      <c r="N392">
        <v>44270</v>
      </c>
      <c r="O392" t="s">
        <v>625</v>
      </c>
      <c r="P392" t="s">
        <v>490</v>
      </c>
    </row>
    <row r="393" spans="1:16">
      <c r="B393" t="s">
        <v>1215</v>
      </c>
      <c r="C393" t="s">
        <v>46</v>
      </c>
      <c r="D393" t="s">
        <v>1214</v>
      </c>
      <c r="E393" t="s">
        <v>1596</v>
      </c>
    </row>
    <row r="394" spans="1:16">
      <c r="A394">
        <v>76</v>
      </c>
      <c r="B394" t="s">
        <v>257</v>
      </c>
      <c r="C394" t="s">
        <v>690</v>
      </c>
      <c r="D394" t="s">
        <v>434</v>
      </c>
      <c r="E394" t="s">
        <v>706</v>
      </c>
      <c r="G394" t="s">
        <v>100</v>
      </c>
      <c r="H394">
        <v>1399</v>
      </c>
      <c r="I394">
        <v>847</v>
      </c>
      <c r="J394">
        <v>623</v>
      </c>
      <c r="K394">
        <v>1851</v>
      </c>
      <c r="L394">
        <v>0</v>
      </c>
      <c r="M394" t="s">
        <v>101</v>
      </c>
      <c r="N394">
        <v>44709</v>
      </c>
      <c r="O394" t="s">
        <v>625</v>
      </c>
      <c r="P394" t="s">
        <v>597</v>
      </c>
    </row>
    <row r="395" spans="1:16">
      <c r="B395" t="s">
        <v>1227</v>
      </c>
      <c r="C395" t="s">
        <v>46</v>
      </c>
      <c r="D395" t="s">
        <v>1226</v>
      </c>
    </row>
    <row r="396" spans="1:16">
      <c r="B396" t="s">
        <v>1252</v>
      </c>
      <c r="C396" t="s">
        <v>46</v>
      </c>
      <c r="D396" t="s">
        <v>1251</v>
      </c>
    </row>
    <row r="397" spans="1:16">
      <c r="B397" t="s">
        <v>1071</v>
      </c>
      <c r="C397" t="s">
        <v>690</v>
      </c>
      <c r="D397" t="s">
        <v>1070</v>
      </c>
    </row>
    <row r="398" spans="1:16">
      <c r="B398" t="s">
        <v>1286</v>
      </c>
      <c r="C398" t="s">
        <v>46</v>
      </c>
      <c r="D398" t="s">
        <v>1285</v>
      </c>
    </row>
    <row r="399" spans="1:16">
      <c r="B399" t="s">
        <v>1071</v>
      </c>
      <c r="C399" t="s">
        <v>690</v>
      </c>
      <c r="D399" t="s">
        <v>1072</v>
      </c>
    </row>
    <row r="400" spans="1:16">
      <c r="B400" t="s">
        <v>1141</v>
      </c>
      <c r="C400" t="s">
        <v>690</v>
      </c>
      <c r="D400" t="s">
        <v>1073</v>
      </c>
    </row>
    <row r="401" spans="2:4">
      <c r="B401" t="s">
        <v>1342</v>
      </c>
      <c r="C401" t="s">
        <v>46</v>
      </c>
      <c r="D401" t="s">
        <v>1294</v>
      </c>
    </row>
    <row r="402" spans="2:4">
      <c r="B402" t="s">
        <v>1154</v>
      </c>
      <c r="C402" t="s">
        <v>690</v>
      </c>
      <c r="D402" t="s">
        <v>1485</v>
      </c>
    </row>
    <row r="403" spans="2:4">
      <c r="B403" t="s">
        <v>1078</v>
      </c>
      <c r="C403" t="s">
        <v>690</v>
      </c>
      <c r="D403" t="s">
        <v>1077</v>
      </c>
    </row>
    <row r="404" spans="2:4">
      <c r="B404" t="s">
        <v>1080</v>
      </c>
      <c r="C404" t="s">
        <v>690</v>
      </c>
      <c r="D404" t="s">
        <v>1079</v>
      </c>
    </row>
    <row r="405" spans="2:4">
      <c r="B405" t="s">
        <v>1082</v>
      </c>
      <c r="C405" t="s">
        <v>690</v>
      </c>
      <c r="D405" t="s">
        <v>1081</v>
      </c>
    </row>
    <row r="406" spans="2:4">
      <c r="B406" t="s">
        <v>1084</v>
      </c>
      <c r="C406" t="s">
        <v>690</v>
      </c>
      <c r="D406" t="s">
        <v>1083</v>
      </c>
    </row>
    <row r="407" spans="2:4">
      <c r="B407" t="s">
        <v>1298</v>
      </c>
      <c r="C407" t="s">
        <v>46</v>
      </c>
      <c r="D407" t="s">
        <v>1297</v>
      </c>
    </row>
    <row r="408" spans="2:4">
      <c r="B408" t="s">
        <v>1300</v>
      </c>
      <c r="C408" t="s">
        <v>46</v>
      </c>
      <c r="D408" t="s">
        <v>1299</v>
      </c>
    </row>
    <row r="409" spans="2:4">
      <c r="B409" t="s">
        <v>1302</v>
      </c>
      <c r="C409" t="s">
        <v>46</v>
      </c>
      <c r="D409" t="s">
        <v>1301</v>
      </c>
    </row>
    <row r="410" spans="2:4">
      <c r="B410" t="s">
        <v>1304</v>
      </c>
      <c r="C410" t="s">
        <v>46</v>
      </c>
      <c r="D410" t="s">
        <v>1303</v>
      </c>
    </row>
    <row r="411" spans="2:4">
      <c r="B411" t="s">
        <v>1304</v>
      </c>
      <c r="C411" t="s">
        <v>46</v>
      </c>
      <c r="D411" t="s">
        <v>1305</v>
      </c>
    </row>
    <row r="412" spans="2:4">
      <c r="B412" t="s">
        <v>1082</v>
      </c>
      <c r="C412" t="s">
        <v>46</v>
      </c>
      <c r="D412" t="s">
        <v>1306</v>
      </c>
    </row>
    <row r="413" spans="2:4">
      <c r="B413" t="s">
        <v>1154</v>
      </c>
      <c r="C413" t="s">
        <v>690</v>
      </c>
      <c r="D413" t="s">
        <v>1520</v>
      </c>
    </row>
    <row r="414" spans="2:4">
      <c r="B414" t="s">
        <v>1172</v>
      </c>
      <c r="C414" t="s">
        <v>690</v>
      </c>
      <c r="D414" t="s">
        <v>1173</v>
      </c>
    </row>
    <row r="415" spans="2:4">
      <c r="B415" t="s">
        <v>1166</v>
      </c>
      <c r="C415" t="s">
        <v>690</v>
      </c>
      <c r="D415" t="s">
        <v>757</v>
      </c>
    </row>
    <row r="416" spans="2:4">
      <c r="B416" t="s">
        <v>905</v>
      </c>
      <c r="C416" t="s">
        <v>690</v>
      </c>
      <c r="D416" t="s">
        <v>904</v>
      </c>
    </row>
    <row r="417" spans="1:16">
      <c r="B417" t="s">
        <v>1101</v>
      </c>
      <c r="C417" t="s">
        <v>690</v>
      </c>
      <c r="D417" t="s">
        <v>1100</v>
      </c>
    </row>
    <row r="418" spans="1:16">
      <c r="B418" t="s">
        <v>1316</v>
      </c>
      <c r="C418" t="s">
        <v>46</v>
      </c>
      <c r="D418" t="s">
        <v>1315</v>
      </c>
    </row>
    <row r="419" spans="1:16">
      <c r="B419" t="s">
        <v>1008</v>
      </c>
      <c r="C419" t="s">
        <v>690</v>
      </c>
      <c r="D419" t="s">
        <v>996</v>
      </c>
    </row>
    <row r="420" spans="1:16">
      <c r="B420" t="s">
        <v>1154</v>
      </c>
      <c r="C420" t="s">
        <v>46</v>
      </c>
      <c r="D420" t="s">
        <v>1155</v>
      </c>
    </row>
    <row r="421" spans="1:16">
      <c r="B421" t="s">
        <v>1102</v>
      </c>
      <c r="C421" t="s">
        <v>690</v>
      </c>
      <c r="D421" t="s">
        <v>767</v>
      </c>
    </row>
    <row r="422" spans="1:16">
      <c r="B422" t="s">
        <v>1136</v>
      </c>
      <c r="C422" t="s">
        <v>690</v>
      </c>
      <c r="D422" t="s">
        <v>1103</v>
      </c>
    </row>
    <row r="423" spans="1:16">
      <c r="B423" t="s">
        <v>1320</v>
      </c>
      <c r="C423" t="s">
        <v>46</v>
      </c>
      <c r="D423" t="s">
        <v>1319</v>
      </c>
    </row>
    <row r="424" spans="1:16">
      <c r="B424" t="s">
        <v>1549</v>
      </c>
      <c r="C424" t="s">
        <v>690</v>
      </c>
      <c r="D424" t="s">
        <v>1550</v>
      </c>
    </row>
    <row r="425" spans="1:16">
      <c r="B425" t="s">
        <v>1105</v>
      </c>
      <c r="C425" t="s">
        <v>690</v>
      </c>
      <c r="D425" t="s">
        <v>1104</v>
      </c>
    </row>
    <row r="426" spans="1:16">
      <c r="B426" t="s">
        <v>1324</v>
      </c>
      <c r="C426" t="s">
        <v>46</v>
      </c>
      <c r="D426" t="s">
        <v>1323</v>
      </c>
    </row>
    <row r="427" spans="1:16">
      <c r="B427" t="s">
        <v>1107</v>
      </c>
      <c r="C427" t="s">
        <v>690</v>
      </c>
      <c r="D427" t="s">
        <v>1106</v>
      </c>
    </row>
    <row r="428" spans="1:16">
      <c r="B428" t="s">
        <v>1549</v>
      </c>
      <c r="C428" t="s">
        <v>690</v>
      </c>
      <c r="D428" t="s">
        <v>1556</v>
      </c>
    </row>
    <row r="429" spans="1:16">
      <c r="A429">
        <v>1</v>
      </c>
      <c r="B429" t="s">
        <v>88</v>
      </c>
      <c r="C429" t="s">
        <v>46</v>
      </c>
      <c r="D429" t="s">
        <v>716</v>
      </c>
      <c r="E429" t="s">
        <v>701</v>
      </c>
      <c r="F429" t="s">
        <v>774</v>
      </c>
      <c r="G429" t="s">
        <v>104</v>
      </c>
      <c r="H429" t="s">
        <v>105</v>
      </c>
      <c r="I429">
        <v>120</v>
      </c>
      <c r="J429">
        <v>98</v>
      </c>
      <c r="K429">
        <v>59</v>
      </c>
      <c r="L429">
        <v>27</v>
      </c>
      <c r="M429" t="s">
        <v>101</v>
      </c>
      <c r="N429">
        <v>45916</v>
      </c>
      <c r="O429" t="s">
        <v>625</v>
      </c>
      <c r="P429" t="s">
        <v>529</v>
      </c>
    </row>
    <row r="430" spans="1:16">
      <c r="B430" t="s">
        <v>1330</v>
      </c>
      <c r="C430" t="s">
        <v>46</v>
      </c>
      <c r="D430" t="s">
        <v>1329</v>
      </c>
    </row>
    <row r="431" spans="1:16">
      <c r="B431" t="s">
        <v>1332</v>
      </c>
      <c r="C431" t="s">
        <v>46</v>
      </c>
      <c r="D431" t="s">
        <v>1331</v>
      </c>
    </row>
    <row r="432" spans="1:16">
      <c r="B432" t="s">
        <v>1334</v>
      </c>
      <c r="C432" t="s">
        <v>46</v>
      </c>
      <c r="D432" t="s">
        <v>1333</v>
      </c>
    </row>
    <row r="433" spans="1:16">
      <c r="B433" t="s">
        <v>1336</v>
      </c>
      <c r="C433" t="s">
        <v>46</v>
      </c>
      <c r="D433" t="s">
        <v>1335</v>
      </c>
    </row>
    <row r="434" spans="1:16">
      <c r="A434">
        <v>77</v>
      </c>
      <c r="B434" t="s">
        <v>263</v>
      </c>
      <c r="C434" s="7" t="s">
        <v>1678</v>
      </c>
      <c r="D434" t="s">
        <v>436</v>
      </c>
      <c r="E434" t="s">
        <v>84</v>
      </c>
      <c r="G434" t="s">
        <v>108</v>
      </c>
      <c r="H434" t="s">
        <v>264</v>
      </c>
      <c r="I434">
        <v>415</v>
      </c>
      <c r="J434">
        <v>2562</v>
      </c>
      <c r="K434">
        <v>1119</v>
      </c>
      <c r="L434">
        <v>0</v>
      </c>
      <c r="M434" t="s">
        <v>101</v>
      </c>
      <c r="N434">
        <v>44680</v>
      </c>
      <c r="O434" t="s">
        <v>625</v>
      </c>
      <c r="P434" t="s">
        <v>611</v>
      </c>
    </row>
    <row r="435" spans="1:16">
      <c r="A435">
        <v>4</v>
      </c>
      <c r="B435" t="s">
        <v>234</v>
      </c>
      <c r="C435" s="7" t="s">
        <v>1678</v>
      </c>
      <c r="D435" t="s">
        <v>717</v>
      </c>
      <c r="E435" t="s">
        <v>1606</v>
      </c>
      <c r="G435" t="s">
        <v>235</v>
      </c>
      <c r="H435" t="s">
        <v>236</v>
      </c>
      <c r="I435">
        <v>535</v>
      </c>
      <c r="J435">
        <v>3990</v>
      </c>
      <c r="K435">
        <v>2010452</v>
      </c>
      <c r="L435">
        <v>22</v>
      </c>
      <c r="M435" t="s">
        <v>101</v>
      </c>
      <c r="N435">
        <v>45054</v>
      </c>
      <c r="O435" t="s">
        <v>625</v>
      </c>
      <c r="P435" t="s">
        <v>536</v>
      </c>
    </row>
    <row r="436" spans="1:16">
      <c r="A436">
        <v>80</v>
      </c>
      <c r="B436" t="s">
        <v>199</v>
      </c>
      <c r="C436" s="7" t="s">
        <v>1678</v>
      </c>
      <c r="D436" t="s">
        <v>404</v>
      </c>
      <c r="E436" t="s">
        <v>1605</v>
      </c>
      <c r="G436" t="s">
        <v>127</v>
      </c>
      <c r="H436" t="s">
        <v>200</v>
      </c>
      <c r="I436">
        <v>68</v>
      </c>
      <c r="J436">
        <v>32</v>
      </c>
      <c r="K436">
        <v>2</v>
      </c>
      <c r="L436">
        <v>0</v>
      </c>
      <c r="M436" t="s">
        <v>101</v>
      </c>
      <c r="N436">
        <v>45440</v>
      </c>
      <c r="O436" t="s">
        <v>625</v>
      </c>
      <c r="P436" t="s">
        <v>587</v>
      </c>
    </row>
    <row r="437" spans="1:16">
      <c r="A437">
        <v>154</v>
      </c>
      <c r="B437" t="s">
        <v>816</v>
      </c>
      <c r="C437" s="7" t="s">
        <v>1678</v>
      </c>
      <c r="D437" t="s">
        <v>744</v>
      </c>
    </row>
    <row r="438" spans="1:16">
      <c r="A438">
        <v>63</v>
      </c>
      <c r="B438" t="s">
        <v>111</v>
      </c>
      <c r="C438" s="7" t="s">
        <v>1678</v>
      </c>
      <c r="D438" t="s">
        <v>357</v>
      </c>
      <c r="E438" t="s">
        <v>1608</v>
      </c>
      <c r="G438" t="s">
        <v>100</v>
      </c>
      <c r="H438">
        <v>964</v>
      </c>
      <c r="I438">
        <v>749</v>
      </c>
      <c r="J438">
        <v>4</v>
      </c>
      <c r="K438">
        <v>1</v>
      </c>
      <c r="L438">
        <v>1</v>
      </c>
      <c r="M438" t="s">
        <v>101</v>
      </c>
      <c r="N438">
        <v>45910</v>
      </c>
      <c r="O438" t="s">
        <v>625</v>
      </c>
      <c r="P438" t="s">
        <v>569</v>
      </c>
    </row>
    <row r="439" spans="1:16">
      <c r="A439">
        <v>79</v>
      </c>
      <c r="B439" t="s">
        <v>263</v>
      </c>
      <c r="C439" s="7" t="s">
        <v>1678</v>
      </c>
      <c r="D439" t="s">
        <v>712</v>
      </c>
      <c r="E439" t="s">
        <v>84</v>
      </c>
      <c r="H439">
        <v>1298</v>
      </c>
      <c r="I439">
        <v>415</v>
      </c>
      <c r="J439">
        <v>2562</v>
      </c>
      <c r="K439">
        <v>1119</v>
      </c>
      <c r="L439">
        <v>0</v>
      </c>
      <c r="M439" t="s">
        <v>101</v>
      </c>
      <c r="N439">
        <v>44680</v>
      </c>
      <c r="O439" t="s">
        <v>625</v>
      </c>
      <c r="P439" t="s">
        <v>697</v>
      </c>
    </row>
    <row r="440" spans="1:16">
      <c r="C440" t="str">
        <f>VLOOKUP(D440,products1!C:J,7,0)</f>
        <v>云米AI净水器小海豚600G+，复合滤芯X2</v>
      </c>
      <c r="D440" s="56" t="s">
        <v>1849</v>
      </c>
    </row>
    <row r="441" spans="1:16">
      <c r="A441">
        <v>151</v>
      </c>
      <c r="B441" t="s">
        <v>813</v>
      </c>
      <c r="C441" t="s">
        <v>662</v>
      </c>
      <c r="D441" t="s">
        <v>800</v>
      </c>
    </row>
    <row r="442" spans="1:16">
      <c r="A442">
        <v>140</v>
      </c>
      <c r="B442" t="s">
        <v>786</v>
      </c>
      <c r="C442" t="s">
        <v>675</v>
      </c>
      <c r="D442" t="s">
        <v>758</v>
      </c>
      <c r="E442" t="s">
        <v>787</v>
      </c>
    </row>
    <row r="443" spans="1:16">
      <c r="A443">
        <v>75</v>
      </c>
      <c r="B443" t="s">
        <v>246</v>
      </c>
      <c r="C443" t="s">
        <v>688</v>
      </c>
      <c r="D443" t="s">
        <v>428</v>
      </c>
      <c r="E443" t="s">
        <v>1593</v>
      </c>
      <c r="G443" t="s">
        <v>127</v>
      </c>
      <c r="H443">
        <v>1099</v>
      </c>
      <c r="I443">
        <v>100</v>
      </c>
      <c r="J443">
        <v>919</v>
      </c>
      <c r="K443">
        <v>2582</v>
      </c>
      <c r="L443">
        <v>0</v>
      </c>
      <c r="M443" t="s">
        <v>101</v>
      </c>
      <c r="N443">
        <v>44796</v>
      </c>
      <c r="O443" t="s">
        <v>625</v>
      </c>
      <c r="P443" t="s">
        <v>596</v>
      </c>
    </row>
    <row r="444" spans="1:16">
      <c r="A444">
        <v>144</v>
      </c>
      <c r="B444" t="s">
        <v>803</v>
      </c>
      <c r="C444" t="s">
        <v>677</v>
      </c>
      <c r="D444" t="s">
        <v>792</v>
      </c>
      <c r="E444" t="s">
        <v>793</v>
      </c>
    </row>
    <row r="445" spans="1:16">
      <c r="C445" t="str">
        <f>VLOOKUP(D445,products1!C:J,7,0)</f>
        <v>云米·泉先AI净水器蓝调 600G+</v>
      </c>
      <c r="D445" s="56" t="s">
        <v>1848</v>
      </c>
    </row>
    <row r="446" spans="1:16">
      <c r="A446">
        <v>148</v>
      </c>
      <c r="B446" t="s">
        <v>807</v>
      </c>
      <c r="C446" t="s">
        <v>808</v>
      </c>
      <c r="D446" t="s">
        <v>796</v>
      </c>
    </row>
    <row r="447" spans="1:16">
      <c r="B447" t="s">
        <v>992</v>
      </c>
      <c r="C447" t="s">
        <v>664</v>
      </c>
      <c r="D447" t="s">
        <v>733</v>
      </c>
    </row>
    <row r="448" spans="1:16">
      <c r="C448" s="7" t="s">
        <v>1708</v>
      </c>
      <c r="D448" s="56" t="s">
        <v>1707</v>
      </c>
      <c r="E448" s="25" t="s">
        <v>1680</v>
      </c>
    </row>
    <row r="449" spans="2:5">
      <c r="B449" t="s">
        <v>984</v>
      </c>
      <c r="C449" t="s">
        <v>666</v>
      </c>
      <c r="D449" t="s">
        <v>729</v>
      </c>
    </row>
    <row r="450" spans="2:5">
      <c r="C450" s="7" t="s">
        <v>1720</v>
      </c>
      <c r="D450" s="56" t="s">
        <v>1718</v>
      </c>
    </row>
    <row r="451" spans="2:5">
      <c r="B451" t="s">
        <v>1174</v>
      </c>
      <c r="C451" t="s">
        <v>1175</v>
      </c>
      <c r="D451" t="s">
        <v>1176</v>
      </c>
    </row>
    <row r="452" spans="2:5">
      <c r="B452" t="s">
        <v>1200</v>
      </c>
      <c r="C452" t="s">
        <v>1347</v>
      </c>
      <c r="D452" t="s">
        <v>1199</v>
      </c>
      <c r="E452" t="s">
        <v>1597</v>
      </c>
    </row>
    <row r="453" spans="2:5">
      <c r="B453" t="s">
        <v>1204</v>
      </c>
      <c r="C453" t="s">
        <v>1347</v>
      </c>
      <c r="D453" t="s">
        <v>1203</v>
      </c>
      <c r="E453" t="s">
        <v>1600</v>
      </c>
    </row>
    <row r="454" spans="2:5">
      <c r="B454" t="s">
        <v>1206</v>
      </c>
      <c r="C454" t="s">
        <v>1347</v>
      </c>
      <c r="D454" t="s">
        <v>1205</v>
      </c>
      <c r="E454" t="s">
        <v>1600</v>
      </c>
    </row>
    <row r="455" spans="2:5">
      <c r="B455" t="s">
        <v>1208</v>
      </c>
      <c r="C455" t="s">
        <v>1347</v>
      </c>
      <c r="D455" t="s">
        <v>1207</v>
      </c>
    </row>
    <row r="456" spans="2:5">
      <c r="B456" t="s">
        <v>1210</v>
      </c>
      <c r="C456" t="s">
        <v>1347</v>
      </c>
      <c r="D456" t="s">
        <v>1209</v>
      </c>
    </row>
    <row r="457" spans="2:5">
      <c r="B457" t="s">
        <v>1219</v>
      </c>
      <c r="C457" t="s">
        <v>1347</v>
      </c>
      <c r="D457" t="s">
        <v>1218</v>
      </c>
      <c r="E457" t="s">
        <v>704</v>
      </c>
    </row>
    <row r="458" spans="2:5">
      <c r="B458" t="s">
        <v>1221</v>
      </c>
      <c r="C458" t="s">
        <v>1347</v>
      </c>
      <c r="D458" t="s">
        <v>1220</v>
      </c>
      <c r="E458" t="s">
        <v>707</v>
      </c>
    </row>
    <row r="459" spans="2:5">
      <c r="B459" t="s">
        <v>1346</v>
      </c>
      <c r="C459" t="s">
        <v>1347</v>
      </c>
      <c r="D459" t="s">
        <v>1222</v>
      </c>
      <c r="E459" t="s">
        <v>707</v>
      </c>
    </row>
    <row r="460" spans="2:5">
      <c r="B460" t="s">
        <v>1224</v>
      </c>
      <c r="C460" t="s">
        <v>1347</v>
      </c>
      <c r="D460" t="s">
        <v>1223</v>
      </c>
      <c r="E460" t="s">
        <v>707</v>
      </c>
    </row>
    <row r="461" spans="2:5">
      <c r="B461" t="s">
        <v>1219</v>
      </c>
      <c r="C461" t="s">
        <v>1347</v>
      </c>
      <c r="D461" t="s">
        <v>1235</v>
      </c>
      <c r="E461" t="s">
        <v>704</v>
      </c>
    </row>
    <row r="462" spans="2:5">
      <c r="B462" t="s">
        <v>1260</v>
      </c>
      <c r="C462" t="s">
        <v>1347</v>
      </c>
      <c r="D462" t="s">
        <v>1259</v>
      </c>
    </row>
    <row r="463" spans="2:5">
      <c r="B463" t="s">
        <v>1338</v>
      </c>
      <c r="C463" t="s">
        <v>1347</v>
      </c>
      <c r="D463" t="s">
        <v>1337</v>
      </c>
      <c r="E463" t="s">
        <v>699</v>
      </c>
    </row>
    <row r="464" spans="2:5">
      <c r="B464" t="s">
        <v>917</v>
      </c>
      <c r="C464" t="s">
        <v>918</v>
      </c>
      <c r="D464" t="s">
        <v>881</v>
      </c>
    </row>
    <row r="465" spans="1:16">
      <c r="A465">
        <v>18</v>
      </c>
      <c r="B465" t="s">
        <v>351</v>
      </c>
      <c r="C465" t="s">
        <v>351</v>
      </c>
      <c r="D465" t="s">
        <v>483</v>
      </c>
      <c r="E465" t="s">
        <v>12</v>
      </c>
      <c r="G465" t="s">
        <v>127</v>
      </c>
      <c r="H465" t="s">
        <v>352</v>
      </c>
      <c r="I465">
        <v>27</v>
      </c>
      <c r="J465">
        <v>59766</v>
      </c>
      <c r="K465">
        <v>21746</v>
      </c>
      <c r="L465">
        <v>30</v>
      </c>
      <c r="M465" t="s">
        <v>101</v>
      </c>
      <c r="N465">
        <v>44172</v>
      </c>
      <c r="O465" t="s">
        <v>696</v>
      </c>
      <c r="P465" t="s">
        <v>27</v>
      </c>
    </row>
    <row r="466" spans="1:16">
      <c r="A466">
        <v>52</v>
      </c>
      <c r="B466" t="s">
        <v>347</v>
      </c>
      <c r="C466" t="s">
        <v>347</v>
      </c>
      <c r="D466" t="s">
        <v>480</v>
      </c>
      <c r="E466" t="s">
        <v>487</v>
      </c>
      <c r="G466" t="s">
        <v>100</v>
      </c>
      <c r="H466">
        <v>2799</v>
      </c>
      <c r="I466">
        <v>15</v>
      </c>
      <c r="J466">
        <v>11850</v>
      </c>
      <c r="K466">
        <v>2565</v>
      </c>
      <c r="L466">
        <v>3</v>
      </c>
      <c r="M466" t="s">
        <v>101</v>
      </c>
      <c r="N466">
        <v>44172</v>
      </c>
      <c r="O466" t="s">
        <v>696</v>
      </c>
      <c r="P466" t="s">
        <v>610</v>
      </c>
    </row>
    <row r="467" spans="1:16">
      <c r="A467">
        <v>138</v>
      </c>
      <c r="B467" t="s">
        <v>1007</v>
      </c>
      <c r="C467" t="s">
        <v>1867</v>
      </c>
      <c r="D467" t="s">
        <v>479</v>
      </c>
      <c r="E467" t="s">
        <v>7</v>
      </c>
      <c r="G467" t="s">
        <v>100</v>
      </c>
      <c r="H467" t="s">
        <v>346</v>
      </c>
      <c r="I467">
        <v>455</v>
      </c>
      <c r="J467">
        <v>2771</v>
      </c>
      <c r="K467">
        <v>618</v>
      </c>
      <c r="L467">
        <v>0</v>
      </c>
      <c r="M467" t="s">
        <v>101</v>
      </c>
      <c r="N467">
        <v>44172</v>
      </c>
      <c r="O467" t="s">
        <v>696</v>
      </c>
      <c r="P467" t="s">
        <v>609</v>
      </c>
    </row>
    <row r="468" spans="1:16">
      <c r="A468">
        <v>137</v>
      </c>
      <c r="B468" t="s">
        <v>345</v>
      </c>
      <c r="C468" t="s">
        <v>345</v>
      </c>
      <c r="D468" t="s">
        <v>478</v>
      </c>
      <c r="E468" t="s">
        <v>68</v>
      </c>
      <c r="G468" t="s">
        <v>100</v>
      </c>
      <c r="H468">
        <v>3599</v>
      </c>
      <c r="I468">
        <v>50</v>
      </c>
      <c r="J468">
        <v>16402</v>
      </c>
      <c r="K468">
        <v>3547</v>
      </c>
      <c r="L468">
        <v>0</v>
      </c>
      <c r="M468" t="s">
        <v>101</v>
      </c>
      <c r="N468">
        <v>44175</v>
      </c>
      <c r="O468" t="s">
        <v>696</v>
      </c>
      <c r="P468" t="s">
        <v>608</v>
      </c>
    </row>
    <row r="469" spans="1:16">
      <c r="A469">
        <v>15</v>
      </c>
      <c r="B469" t="s">
        <v>344</v>
      </c>
      <c r="C469" t="s">
        <v>344</v>
      </c>
      <c r="D469" t="s">
        <v>477</v>
      </c>
      <c r="E469" t="s">
        <v>16</v>
      </c>
      <c r="G469" t="s">
        <v>100</v>
      </c>
      <c r="H469">
        <v>899</v>
      </c>
      <c r="I469">
        <v>67</v>
      </c>
      <c r="J469">
        <v>10802</v>
      </c>
      <c r="K469">
        <v>7829</v>
      </c>
      <c r="L469">
        <v>33</v>
      </c>
      <c r="M469" t="s">
        <v>101</v>
      </c>
      <c r="N469">
        <v>44176</v>
      </c>
      <c r="O469" t="s">
        <v>696</v>
      </c>
      <c r="P469" t="s">
        <v>607</v>
      </c>
    </row>
    <row r="470" spans="1:16">
      <c r="A470">
        <v>136</v>
      </c>
      <c r="B470" t="s">
        <v>342</v>
      </c>
      <c r="C470" t="s">
        <v>342</v>
      </c>
      <c r="D470" t="s">
        <v>476</v>
      </c>
      <c r="E470" t="s">
        <v>12</v>
      </c>
      <c r="G470" t="s">
        <v>100</v>
      </c>
      <c r="H470" t="s">
        <v>343</v>
      </c>
      <c r="I470">
        <v>95</v>
      </c>
      <c r="J470">
        <v>1925</v>
      </c>
      <c r="K470">
        <v>848</v>
      </c>
      <c r="L470">
        <v>0</v>
      </c>
      <c r="M470" t="s">
        <v>101</v>
      </c>
      <c r="N470">
        <v>44176</v>
      </c>
      <c r="O470" t="s">
        <v>696</v>
      </c>
      <c r="P470" t="s">
        <v>606</v>
      </c>
    </row>
    <row r="471" spans="1:16">
      <c r="A471">
        <v>51</v>
      </c>
      <c r="B471" t="s">
        <v>341</v>
      </c>
      <c r="C471" t="s">
        <v>1868</v>
      </c>
      <c r="D471" t="s">
        <v>475</v>
      </c>
      <c r="E471" t="s">
        <v>1595</v>
      </c>
      <c r="G471" t="s">
        <v>100</v>
      </c>
      <c r="H471">
        <v>999</v>
      </c>
      <c r="I471">
        <v>19</v>
      </c>
      <c r="J471">
        <v>3958</v>
      </c>
      <c r="K471">
        <v>1107</v>
      </c>
      <c r="L471">
        <v>3</v>
      </c>
      <c r="M471" t="s">
        <v>101</v>
      </c>
      <c r="N471">
        <v>44181</v>
      </c>
      <c r="O471" t="s">
        <v>696</v>
      </c>
      <c r="P471" t="s">
        <v>605</v>
      </c>
    </row>
    <row r="472" spans="1:16">
      <c r="A472">
        <v>135</v>
      </c>
      <c r="B472" t="s">
        <v>340</v>
      </c>
      <c r="C472" t="s">
        <v>340</v>
      </c>
      <c r="D472" t="s">
        <v>474</v>
      </c>
      <c r="E472" t="s">
        <v>55</v>
      </c>
      <c r="G472" t="s">
        <v>100</v>
      </c>
      <c r="H472">
        <v>1149</v>
      </c>
      <c r="I472">
        <v>60</v>
      </c>
      <c r="J472">
        <v>9760</v>
      </c>
      <c r="K472">
        <v>2463</v>
      </c>
      <c r="L472">
        <v>0</v>
      </c>
      <c r="M472" t="s">
        <v>101</v>
      </c>
      <c r="N472">
        <v>44181</v>
      </c>
      <c r="O472" t="s">
        <v>696</v>
      </c>
      <c r="P472" t="s">
        <v>604</v>
      </c>
    </row>
    <row r="473" spans="1:16">
      <c r="A473">
        <v>27</v>
      </c>
      <c r="B473" t="s">
        <v>338</v>
      </c>
      <c r="C473" t="e">
        <v>#N/A</v>
      </c>
      <c r="D473" t="s">
        <v>473</v>
      </c>
      <c r="E473" t="s">
        <v>107</v>
      </c>
      <c r="G473" t="s">
        <v>108</v>
      </c>
      <c r="H473" t="s">
        <v>339</v>
      </c>
      <c r="I473">
        <v>30</v>
      </c>
      <c r="J473">
        <v>7064</v>
      </c>
      <c r="K473">
        <v>1860</v>
      </c>
      <c r="L473">
        <v>11</v>
      </c>
      <c r="M473" t="s">
        <v>101</v>
      </c>
      <c r="N473">
        <v>44183</v>
      </c>
      <c r="O473" t="s">
        <v>696</v>
      </c>
      <c r="P473" t="s">
        <v>603</v>
      </c>
    </row>
    <row r="474" spans="1:16">
      <c r="A474">
        <v>61</v>
      </c>
      <c r="B474" t="s">
        <v>99</v>
      </c>
      <c r="C474" t="s">
        <v>99</v>
      </c>
      <c r="D474" t="s">
        <v>472</v>
      </c>
      <c r="E474" t="s">
        <v>53</v>
      </c>
      <c r="G474" t="s">
        <v>100</v>
      </c>
      <c r="H474">
        <v>899</v>
      </c>
      <c r="I474">
        <v>8</v>
      </c>
      <c r="J474">
        <v>5370</v>
      </c>
      <c r="K474">
        <v>1264</v>
      </c>
      <c r="L474">
        <v>2</v>
      </c>
      <c r="M474" t="s">
        <v>101</v>
      </c>
      <c r="N474">
        <v>44195</v>
      </c>
      <c r="O474" t="s">
        <v>696</v>
      </c>
      <c r="P474" t="s">
        <v>602</v>
      </c>
    </row>
    <row r="475" spans="1:16">
      <c r="A475">
        <v>32</v>
      </c>
      <c r="B475" t="s">
        <v>335</v>
      </c>
      <c r="C475" t="s">
        <v>335</v>
      </c>
      <c r="D475" t="s">
        <v>471</v>
      </c>
      <c r="E475" t="s">
        <v>336</v>
      </c>
      <c r="G475" t="s">
        <v>127</v>
      </c>
      <c r="H475" t="s">
        <v>337</v>
      </c>
      <c r="I475">
        <v>56</v>
      </c>
      <c r="J475">
        <v>3647</v>
      </c>
      <c r="K475">
        <v>1049</v>
      </c>
      <c r="L475">
        <v>9</v>
      </c>
      <c r="M475" t="s">
        <v>101</v>
      </c>
      <c r="N475">
        <v>44201</v>
      </c>
      <c r="O475" t="s">
        <v>696</v>
      </c>
      <c r="P475" t="s">
        <v>601</v>
      </c>
    </row>
    <row r="476" spans="1:16">
      <c r="A476">
        <v>37</v>
      </c>
      <c r="B476" t="s">
        <v>333</v>
      </c>
      <c r="C476" t="s">
        <v>333</v>
      </c>
      <c r="D476" t="s">
        <v>470</v>
      </c>
      <c r="E476" t="s">
        <v>17</v>
      </c>
      <c r="G476" t="s">
        <v>108</v>
      </c>
      <c r="H476" t="s">
        <v>334</v>
      </c>
      <c r="I476">
        <v>19</v>
      </c>
      <c r="J476">
        <v>4191</v>
      </c>
      <c r="K476">
        <v>1198</v>
      </c>
      <c r="L476">
        <v>7</v>
      </c>
      <c r="M476" t="s">
        <v>101</v>
      </c>
      <c r="N476">
        <v>44207</v>
      </c>
      <c r="O476" t="s">
        <v>696</v>
      </c>
      <c r="P476" t="s">
        <v>36</v>
      </c>
    </row>
    <row r="477" spans="1:16">
      <c r="A477">
        <v>134</v>
      </c>
      <c r="B477" t="s">
        <v>332</v>
      </c>
      <c r="C477" t="e">
        <v>#N/A</v>
      </c>
      <c r="D477" t="s">
        <v>469</v>
      </c>
      <c r="E477" t="s">
        <v>76</v>
      </c>
      <c r="G477" t="s">
        <v>100</v>
      </c>
      <c r="H477">
        <v>89</v>
      </c>
      <c r="I477">
        <v>282</v>
      </c>
      <c r="J477">
        <v>391</v>
      </c>
      <c r="K477">
        <v>186</v>
      </c>
      <c r="L477">
        <v>0</v>
      </c>
      <c r="M477" t="s">
        <v>101</v>
      </c>
      <c r="N477">
        <v>44210</v>
      </c>
      <c r="O477" t="s">
        <v>696</v>
      </c>
      <c r="P477" t="s">
        <v>600</v>
      </c>
    </row>
    <row r="478" spans="1:16">
      <c r="A478">
        <v>50</v>
      </c>
      <c r="B478" t="s">
        <v>330</v>
      </c>
      <c r="C478" t="s">
        <v>330</v>
      </c>
      <c r="D478" t="s">
        <v>468</v>
      </c>
      <c r="E478" t="s">
        <v>10</v>
      </c>
      <c r="G478" t="s">
        <v>259</v>
      </c>
      <c r="H478" t="s">
        <v>331</v>
      </c>
      <c r="I478">
        <v>16</v>
      </c>
      <c r="J478">
        <v>1208</v>
      </c>
      <c r="K478">
        <v>288</v>
      </c>
      <c r="L478">
        <v>3</v>
      </c>
      <c r="M478" t="s">
        <v>101</v>
      </c>
      <c r="N478">
        <v>44222</v>
      </c>
      <c r="O478" t="s">
        <v>696</v>
      </c>
      <c r="P478" t="s">
        <v>599</v>
      </c>
    </row>
    <row r="479" spans="1:16">
      <c r="A479">
        <v>22</v>
      </c>
      <c r="B479" t="s">
        <v>327</v>
      </c>
      <c r="C479" t="s">
        <v>327</v>
      </c>
      <c r="D479" t="s">
        <v>467</v>
      </c>
      <c r="E479" t="s">
        <v>13</v>
      </c>
      <c r="G479" t="s">
        <v>328</v>
      </c>
      <c r="H479" t="s">
        <v>329</v>
      </c>
      <c r="I479">
        <v>11</v>
      </c>
      <c r="J479">
        <v>12059</v>
      </c>
      <c r="K479">
        <v>2404</v>
      </c>
      <c r="L479">
        <v>17</v>
      </c>
      <c r="M479" t="s">
        <v>101</v>
      </c>
      <c r="N479">
        <v>44249</v>
      </c>
      <c r="O479" t="s">
        <v>696</v>
      </c>
      <c r="P479" t="s">
        <v>34</v>
      </c>
    </row>
    <row r="480" spans="1:16">
      <c r="A480">
        <v>38</v>
      </c>
      <c r="B480" t="s">
        <v>325</v>
      </c>
      <c r="C480" t="s">
        <v>325</v>
      </c>
      <c r="D480" t="s">
        <v>466</v>
      </c>
      <c r="E480" t="s">
        <v>85</v>
      </c>
      <c r="G480" t="s">
        <v>108</v>
      </c>
      <c r="H480" t="s">
        <v>326</v>
      </c>
      <c r="I480">
        <v>166</v>
      </c>
      <c r="J480">
        <v>1236</v>
      </c>
      <c r="K480">
        <v>54</v>
      </c>
      <c r="L480">
        <v>6</v>
      </c>
      <c r="M480" t="s">
        <v>101</v>
      </c>
      <c r="N480">
        <v>44274</v>
      </c>
      <c r="O480" t="s">
        <v>696</v>
      </c>
      <c r="P480" t="s">
        <v>595</v>
      </c>
    </row>
    <row r="481" spans="1:16">
      <c r="A481">
        <v>133</v>
      </c>
      <c r="B481" t="s">
        <v>324</v>
      </c>
      <c r="C481" t="s">
        <v>324</v>
      </c>
      <c r="D481" t="s">
        <v>465</v>
      </c>
      <c r="E481" t="s">
        <v>71</v>
      </c>
      <c r="G481" t="s">
        <v>100</v>
      </c>
      <c r="H481">
        <v>1799</v>
      </c>
      <c r="I481">
        <v>994</v>
      </c>
      <c r="J481">
        <v>549</v>
      </c>
      <c r="K481">
        <v>40</v>
      </c>
      <c r="L481">
        <v>0</v>
      </c>
      <c r="M481" t="s">
        <v>101</v>
      </c>
      <c r="N481">
        <v>44264</v>
      </c>
      <c r="O481" t="s">
        <v>696</v>
      </c>
      <c r="P481" t="s">
        <v>598</v>
      </c>
    </row>
    <row r="482" spans="1:16">
      <c r="A482">
        <v>31</v>
      </c>
      <c r="B482" t="s">
        <v>319</v>
      </c>
      <c r="C482" t="e">
        <v>#N/A</v>
      </c>
      <c r="D482" t="s">
        <v>463</v>
      </c>
      <c r="E482" t="s">
        <v>16</v>
      </c>
      <c r="G482" t="s">
        <v>171</v>
      </c>
      <c r="H482" t="s">
        <v>320</v>
      </c>
      <c r="I482">
        <v>51</v>
      </c>
      <c r="J482">
        <v>10197</v>
      </c>
      <c r="K482">
        <v>7592</v>
      </c>
      <c r="L482">
        <v>9</v>
      </c>
      <c r="M482" t="s">
        <v>101</v>
      </c>
      <c r="N482">
        <v>44274</v>
      </c>
      <c r="O482" t="s">
        <v>696</v>
      </c>
      <c r="P482" t="s">
        <v>594</v>
      </c>
    </row>
    <row r="483" spans="1:16">
      <c r="A483">
        <v>14</v>
      </c>
      <c r="B483" t="s">
        <v>316</v>
      </c>
      <c r="C483" t="e">
        <v>#N/A</v>
      </c>
      <c r="D483" t="s">
        <v>461</v>
      </c>
      <c r="E483" t="s">
        <v>107</v>
      </c>
      <c r="G483" t="s">
        <v>137</v>
      </c>
      <c r="H483" t="s">
        <v>317</v>
      </c>
      <c r="I483">
        <v>26</v>
      </c>
      <c r="J483">
        <v>22632</v>
      </c>
      <c r="K483">
        <v>15338</v>
      </c>
      <c r="L483">
        <v>38</v>
      </c>
      <c r="M483" t="s">
        <v>101</v>
      </c>
      <c r="N483">
        <v>44277</v>
      </c>
      <c r="O483" t="s">
        <v>696</v>
      </c>
      <c r="P483" t="s">
        <v>592</v>
      </c>
    </row>
    <row r="484" spans="1:16">
      <c r="A484">
        <v>132</v>
      </c>
      <c r="B484" t="s">
        <v>314</v>
      </c>
      <c r="C484" t="s">
        <v>314</v>
      </c>
      <c r="D484" t="s">
        <v>460</v>
      </c>
      <c r="E484" t="s">
        <v>315</v>
      </c>
      <c r="G484" t="s">
        <v>100</v>
      </c>
      <c r="H484">
        <v>1699</v>
      </c>
      <c r="I484">
        <v>41</v>
      </c>
      <c r="J484">
        <v>5195</v>
      </c>
      <c r="K484">
        <v>1594</v>
      </c>
      <c r="L484">
        <v>0</v>
      </c>
      <c r="M484" t="s">
        <v>101</v>
      </c>
      <c r="N484">
        <v>44288</v>
      </c>
      <c r="O484" t="s">
        <v>696</v>
      </c>
      <c r="P484" t="s">
        <v>591</v>
      </c>
    </row>
    <row r="485" spans="1:16">
      <c r="A485">
        <v>35</v>
      </c>
      <c r="B485" t="s">
        <v>312</v>
      </c>
      <c r="C485" t="s">
        <v>312</v>
      </c>
      <c r="D485" t="s">
        <v>459</v>
      </c>
      <c r="E485" t="s">
        <v>81</v>
      </c>
      <c r="G485" t="s">
        <v>137</v>
      </c>
      <c r="H485" t="s">
        <v>313</v>
      </c>
      <c r="I485">
        <v>139</v>
      </c>
      <c r="J485">
        <v>833</v>
      </c>
      <c r="K485">
        <v>298</v>
      </c>
      <c r="L485">
        <v>8</v>
      </c>
      <c r="M485" t="s">
        <v>101</v>
      </c>
      <c r="N485">
        <v>44291</v>
      </c>
      <c r="O485" t="s">
        <v>696</v>
      </c>
      <c r="P485" t="s">
        <v>590</v>
      </c>
    </row>
    <row r="486" spans="1:16">
      <c r="A486">
        <v>23</v>
      </c>
      <c r="B486" t="s">
        <v>307</v>
      </c>
      <c r="C486" t="s">
        <v>307</v>
      </c>
      <c r="D486" t="s">
        <v>457</v>
      </c>
      <c r="E486" t="s">
        <v>308</v>
      </c>
      <c r="G486" t="s">
        <v>108</v>
      </c>
      <c r="H486" t="s">
        <v>309</v>
      </c>
      <c r="I486">
        <v>34</v>
      </c>
      <c r="J486">
        <v>3396</v>
      </c>
      <c r="K486">
        <v>752</v>
      </c>
      <c r="L486">
        <v>14</v>
      </c>
      <c r="M486" t="s">
        <v>101</v>
      </c>
      <c r="N486">
        <v>44308</v>
      </c>
      <c r="O486" t="s">
        <v>696</v>
      </c>
      <c r="P486" t="s">
        <v>588</v>
      </c>
    </row>
    <row r="487" spans="1:16">
      <c r="A487">
        <v>60</v>
      </c>
      <c r="B487" t="s">
        <v>298</v>
      </c>
      <c r="C487" t="s">
        <v>298</v>
      </c>
      <c r="D487" t="s">
        <v>454</v>
      </c>
      <c r="E487" t="s">
        <v>299</v>
      </c>
      <c r="G487" t="s">
        <v>206</v>
      </c>
      <c r="H487" t="s">
        <v>300</v>
      </c>
      <c r="I487">
        <v>384</v>
      </c>
      <c r="J487">
        <v>253</v>
      </c>
      <c r="K487">
        <v>60</v>
      </c>
      <c r="L487">
        <v>2</v>
      </c>
      <c r="M487" t="s">
        <v>101</v>
      </c>
      <c r="N487">
        <v>44332</v>
      </c>
      <c r="O487" t="s">
        <v>696</v>
      </c>
      <c r="P487" t="s">
        <v>584</v>
      </c>
    </row>
    <row r="488" spans="1:16">
      <c r="A488">
        <v>130</v>
      </c>
      <c r="B488" t="s">
        <v>297</v>
      </c>
      <c r="C488" t="s">
        <v>297</v>
      </c>
      <c r="D488" t="s">
        <v>453</v>
      </c>
      <c r="E488" t="s">
        <v>79</v>
      </c>
      <c r="G488" t="s">
        <v>100</v>
      </c>
      <c r="H488">
        <v>2098</v>
      </c>
      <c r="I488">
        <v>50</v>
      </c>
      <c r="J488">
        <v>727</v>
      </c>
      <c r="K488">
        <v>74</v>
      </c>
      <c r="L488">
        <v>0</v>
      </c>
      <c r="M488" t="s">
        <v>101</v>
      </c>
      <c r="N488">
        <v>44333</v>
      </c>
      <c r="O488" t="s">
        <v>696</v>
      </c>
      <c r="P488" t="s">
        <v>583</v>
      </c>
    </row>
    <row r="489" spans="1:16">
      <c r="A489">
        <v>26</v>
      </c>
      <c r="B489" t="s">
        <v>292</v>
      </c>
      <c r="C489" t="s">
        <v>292</v>
      </c>
      <c r="D489" t="s">
        <v>451</v>
      </c>
      <c r="E489" t="s">
        <v>107</v>
      </c>
      <c r="G489" t="s">
        <v>108</v>
      </c>
      <c r="H489" t="s">
        <v>293</v>
      </c>
      <c r="I489">
        <v>40</v>
      </c>
      <c r="J489">
        <v>2792</v>
      </c>
      <c r="K489">
        <v>477</v>
      </c>
      <c r="L489">
        <v>11</v>
      </c>
      <c r="M489" t="s">
        <v>101</v>
      </c>
      <c r="N489">
        <v>44347</v>
      </c>
      <c r="O489" t="s">
        <v>696</v>
      </c>
      <c r="P489" t="s">
        <v>581</v>
      </c>
    </row>
    <row r="490" spans="1:16">
      <c r="A490">
        <v>59</v>
      </c>
      <c r="B490" t="s">
        <v>290</v>
      </c>
      <c r="C490" t="s">
        <v>290</v>
      </c>
      <c r="D490" t="s">
        <v>450</v>
      </c>
      <c r="E490" t="s">
        <v>19</v>
      </c>
      <c r="G490" t="s">
        <v>113</v>
      </c>
      <c r="H490" t="s">
        <v>291</v>
      </c>
      <c r="I490">
        <v>50</v>
      </c>
      <c r="J490">
        <v>1205</v>
      </c>
      <c r="K490">
        <v>121</v>
      </c>
      <c r="L490">
        <v>2</v>
      </c>
      <c r="M490" t="s">
        <v>101</v>
      </c>
      <c r="N490">
        <v>44383</v>
      </c>
      <c r="O490" t="s">
        <v>696</v>
      </c>
      <c r="P490" t="s">
        <v>580</v>
      </c>
    </row>
    <row r="491" spans="1:16">
      <c r="A491">
        <v>129</v>
      </c>
      <c r="B491" t="s">
        <v>287</v>
      </c>
      <c r="C491" t="s">
        <v>287</v>
      </c>
      <c r="D491" t="s">
        <v>449</v>
      </c>
      <c r="E491" t="s">
        <v>1595</v>
      </c>
      <c r="G491" t="s">
        <v>288</v>
      </c>
      <c r="H491" t="s">
        <v>289</v>
      </c>
      <c r="I491">
        <v>20</v>
      </c>
      <c r="J491">
        <v>2963</v>
      </c>
      <c r="K491">
        <v>928</v>
      </c>
      <c r="L491">
        <v>0</v>
      </c>
      <c r="M491" t="s">
        <v>101</v>
      </c>
      <c r="N491">
        <v>44435</v>
      </c>
      <c r="O491" t="s">
        <v>696</v>
      </c>
      <c r="P491" t="s">
        <v>579</v>
      </c>
    </row>
    <row r="492" spans="1:16">
      <c r="A492">
        <v>49</v>
      </c>
      <c r="B492" t="s">
        <v>285</v>
      </c>
      <c r="C492" t="s">
        <v>285</v>
      </c>
      <c r="D492" t="s">
        <v>448</v>
      </c>
      <c r="E492" t="s">
        <v>67</v>
      </c>
      <c r="G492" t="s">
        <v>171</v>
      </c>
      <c r="H492" t="s">
        <v>286</v>
      </c>
      <c r="I492">
        <v>29</v>
      </c>
      <c r="J492">
        <v>7169</v>
      </c>
      <c r="K492">
        <v>1325</v>
      </c>
      <c r="L492">
        <v>3</v>
      </c>
      <c r="M492" t="s">
        <v>101</v>
      </c>
      <c r="N492">
        <v>44449</v>
      </c>
      <c r="O492" t="s">
        <v>696</v>
      </c>
      <c r="P492" t="s">
        <v>578</v>
      </c>
    </row>
    <row r="493" spans="1:16">
      <c r="A493">
        <v>128</v>
      </c>
      <c r="B493" t="s">
        <v>283</v>
      </c>
      <c r="C493" t="s">
        <v>283</v>
      </c>
      <c r="D493" t="s">
        <v>447</v>
      </c>
      <c r="E493" t="s">
        <v>11</v>
      </c>
      <c r="G493" t="s">
        <v>100</v>
      </c>
      <c r="H493" t="s">
        <v>284</v>
      </c>
      <c r="I493">
        <v>97</v>
      </c>
      <c r="J493">
        <v>159</v>
      </c>
      <c r="K493">
        <v>45</v>
      </c>
      <c r="L493">
        <v>0</v>
      </c>
      <c r="M493" t="s">
        <v>101</v>
      </c>
      <c r="N493">
        <v>44467</v>
      </c>
      <c r="O493" t="s">
        <v>696</v>
      </c>
      <c r="P493" t="s">
        <v>577</v>
      </c>
    </row>
    <row r="494" spans="1:16">
      <c r="A494">
        <v>127</v>
      </c>
      <c r="B494" t="s">
        <v>281</v>
      </c>
      <c r="C494" t="s">
        <v>281</v>
      </c>
      <c r="D494" t="s">
        <v>446</v>
      </c>
      <c r="E494" t="s">
        <v>78</v>
      </c>
      <c r="G494" t="s">
        <v>113</v>
      </c>
      <c r="H494" t="s">
        <v>282</v>
      </c>
      <c r="I494">
        <v>56</v>
      </c>
      <c r="J494">
        <v>159</v>
      </c>
      <c r="K494">
        <v>20</v>
      </c>
      <c r="L494">
        <v>0</v>
      </c>
      <c r="M494" t="s">
        <v>101</v>
      </c>
      <c r="N494">
        <v>44488</v>
      </c>
      <c r="O494" t="s">
        <v>696</v>
      </c>
      <c r="P494" t="s">
        <v>576</v>
      </c>
    </row>
    <row r="495" spans="1:16">
      <c r="A495">
        <v>74</v>
      </c>
      <c r="B495" t="s">
        <v>279</v>
      </c>
      <c r="C495" t="s">
        <v>279</v>
      </c>
      <c r="D495" t="s">
        <v>445</v>
      </c>
      <c r="E495" t="s">
        <v>14</v>
      </c>
      <c r="G495" t="s">
        <v>108</v>
      </c>
      <c r="H495" t="s">
        <v>280</v>
      </c>
      <c r="I495">
        <v>18</v>
      </c>
      <c r="J495">
        <v>1462</v>
      </c>
      <c r="K495">
        <v>371</v>
      </c>
      <c r="L495">
        <v>1</v>
      </c>
      <c r="M495" t="s">
        <v>101</v>
      </c>
      <c r="N495">
        <v>44488</v>
      </c>
      <c r="O495" t="s">
        <v>696</v>
      </c>
      <c r="P495" t="s">
        <v>575</v>
      </c>
    </row>
    <row r="496" spans="1:16">
      <c r="A496">
        <v>126</v>
      </c>
      <c r="B496" t="s">
        <v>276</v>
      </c>
      <c r="C496" t="s">
        <v>276</v>
      </c>
      <c r="D496" t="s">
        <v>443</v>
      </c>
      <c r="E496" t="s">
        <v>10</v>
      </c>
      <c r="G496" t="s">
        <v>100</v>
      </c>
      <c r="H496">
        <v>1899</v>
      </c>
      <c r="I496">
        <v>40</v>
      </c>
      <c r="J496">
        <v>2090</v>
      </c>
      <c r="K496">
        <v>830</v>
      </c>
      <c r="L496">
        <v>0</v>
      </c>
      <c r="M496" t="s">
        <v>101</v>
      </c>
      <c r="N496">
        <v>44496</v>
      </c>
      <c r="O496" t="s">
        <v>696</v>
      </c>
      <c r="P496" t="s">
        <v>573</v>
      </c>
    </row>
    <row r="497" spans="1:16">
      <c r="A497">
        <v>125</v>
      </c>
      <c r="B497" t="s">
        <v>158</v>
      </c>
      <c r="C497" t="s">
        <v>158</v>
      </c>
      <c r="D497" t="s">
        <v>440</v>
      </c>
      <c r="E497" t="s">
        <v>107</v>
      </c>
      <c r="G497" t="s">
        <v>100</v>
      </c>
      <c r="H497" t="s">
        <v>159</v>
      </c>
      <c r="I497">
        <v>25</v>
      </c>
      <c r="J497">
        <v>290</v>
      </c>
      <c r="K497">
        <v>46</v>
      </c>
      <c r="L497">
        <v>0</v>
      </c>
      <c r="M497" t="s">
        <v>101</v>
      </c>
      <c r="N497">
        <v>44526</v>
      </c>
      <c r="O497" t="s">
        <v>696</v>
      </c>
      <c r="P497" t="s">
        <v>570</v>
      </c>
    </row>
    <row r="498" spans="1:16">
      <c r="A498">
        <v>124</v>
      </c>
      <c r="B498" t="s">
        <v>133</v>
      </c>
      <c r="C498" t="s">
        <v>133</v>
      </c>
      <c r="D498" t="s">
        <v>438</v>
      </c>
      <c r="E498" t="s">
        <v>56</v>
      </c>
      <c r="G498" t="s">
        <v>100</v>
      </c>
      <c r="H498">
        <v>1299</v>
      </c>
      <c r="I498">
        <v>64</v>
      </c>
      <c r="J498">
        <v>3094</v>
      </c>
      <c r="K498">
        <v>1790</v>
      </c>
      <c r="L498">
        <v>0</v>
      </c>
      <c r="M498" t="s">
        <v>101</v>
      </c>
      <c r="N498">
        <v>44537</v>
      </c>
      <c r="O498" t="s">
        <v>696</v>
      </c>
      <c r="P498" t="s">
        <v>567</v>
      </c>
    </row>
    <row r="499" spans="1:16">
      <c r="A499">
        <v>123</v>
      </c>
      <c r="B499" t="s">
        <v>265</v>
      </c>
      <c r="C499" t="s">
        <v>265</v>
      </c>
      <c r="D499" t="s">
        <v>437</v>
      </c>
      <c r="E499" t="s">
        <v>58</v>
      </c>
      <c r="G499" t="s">
        <v>127</v>
      </c>
      <c r="H499" t="s">
        <v>266</v>
      </c>
      <c r="I499">
        <v>21</v>
      </c>
      <c r="J499">
        <v>5181</v>
      </c>
      <c r="K499">
        <v>1267</v>
      </c>
      <c r="L499">
        <v>0</v>
      </c>
      <c r="M499" t="s">
        <v>101</v>
      </c>
      <c r="N499">
        <v>44584</v>
      </c>
      <c r="O499" t="s">
        <v>696</v>
      </c>
      <c r="P499" t="s">
        <v>566</v>
      </c>
    </row>
    <row r="500" spans="1:16">
      <c r="A500">
        <v>122</v>
      </c>
      <c r="B500" t="s">
        <v>261</v>
      </c>
      <c r="C500" t="s">
        <v>261</v>
      </c>
      <c r="D500" t="s">
        <v>435</v>
      </c>
      <c r="E500" t="s">
        <v>60</v>
      </c>
      <c r="G500" t="s">
        <v>127</v>
      </c>
      <c r="H500" t="s">
        <v>262</v>
      </c>
      <c r="I500">
        <v>31</v>
      </c>
      <c r="J500">
        <v>773</v>
      </c>
      <c r="K500">
        <v>228</v>
      </c>
      <c r="L500">
        <v>0</v>
      </c>
      <c r="M500" t="s">
        <v>101</v>
      </c>
      <c r="N500">
        <v>44688</v>
      </c>
      <c r="O500" t="s">
        <v>696</v>
      </c>
      <c r="P500" t="s">
        <v>564</v>
      </c>
    </row>
    <row r="501" spans="1:16">
      <c r="A501">
        <v>45</v>
      </c>
      <c r="B501" t="s">
        <v>255</v>
      </c>
      <c r="C501" t="s">
        <v>255</v>
      </c>
      <c r="D501" t="s">
        <v>433</v>
      </c>
      <c r="E501" t="s">
        <v>59</v>
      </c>
      <c r="G501" t="s">
        <v>100</v>
      </c>
      <c r="H501" t="s">
        <v>256</v>
      </c>
      <c r="I501">
        <v>20</v>
      </c>
      <c r="J501">
        <v>1427</v>
      </c>
      <c r="K501">
        <v>597</v>
      </c>
      <c r="L501">
        <v>4</v>
      </c>
      <c r="M501" t="s">
        <v>101</v>
      </c>
      <c r="N501">
        <v>44713</v>
      </c>
      <c r="O501" t="s">
        <v>696</v>
      </c>
      <c r="P501" t="s">
        <v>561</v>
      </c>
    </row>
    <row r="502" spans="1:16">
      <c r="A502">
        <v>121</v>
      </c>
      <c r="B502" t="s">
        <v>250</v>
      </c>
      <c r="C502" t="s">
        <v>250</v>
      </c>
      <c r="D502" t="s">
        <v>431</v>
      </c>
      <c r="E502" t="s">
        <v>251</v>
      </c>
      <c r="G502" t="s">
        <v>108</v>
      </c>
      <c r="H502" t="s">
        <v>252</v>
      </c>
      <c r="I502">
        <v>45</v>
      </c>
      <c r="J502">
        <v>420</v>
      </c>
      <c r="K502">
        <v>172</v>
      </c>
      <c r="L502">
        <v>0</v>
      </c>
      <c r="M502" t="s">
        <v>101</v>
      </c>
      <c r="N502">
        <v>44742</v>
      </c>
      <c r="O502" t="s">
        <v>696</v>
      </c>
      <c r="P502" t="s">
        <v>559</v>
      </c>
    </row>
    <row r="503" spans="1:16">
      <c r="A503">
        <v>48</v>
      </c>
      <c r="B503" t="s">
        <v>249</v>
      </c>
      <c r="C503" t="s">
        <v>249</v>
      </c>
      <c r="D503" t="s">
        <v>430</v>
      </c>
      <c r="E503" t="s">
        <v>61</v>
      </c>
      <c r="G503" t="s">
        <v>100</v>
      </c>
      <c r="H503">
        <v>1699</v>
      </c>
      <c r="I503">
        <v>49</v>
      </c>
      <c r="J503">
        <v>1438</v>
      </c>
      <c r="K503">
        <v>424</v>
      </c>
      <c r="L503">
        <v>3</v>
      </c>
      <c r="M503" t="s">
        <v>101</v>
      </c>
      <c r="N503">
        <v>44755</v>
      </c>
      <c r="O503" t="s">
        <v>696</v>
      </c>
      <c r="P503" t="s">
        <v>558</v>
      </c>
    </row>
    <row r="504" spans="1:16">
      <c r="A504">
        <v>20</v>
      </c>
      <c r="B504" t="s">
        <v>247</v>
      </c>
      <c r="C504" t="e">
        <v>#N/A</v>
      </c>
      <c r="D504" t="s">
        <v>429</v>
      </c>
      <c r="E504" t="s">
        <v>70</v>
      </c>
      <c r="G504" t="s">
        <v>137</v>
      </c>
      <c r="H504" t="s">
        <v>248</v>
      </c>
      <c r="I504">
        <v>28</v>
      </c>
      <c r="J504">
        <v>449</v>
      </c>
      <c r="K504">
        <v>94</v>
      </c>
      <c r="L504">
        <v>20</v>
      </c>
      <c r="M504" t="s">
        <v>101</v>
      </c>
      <c r="N504">
        <v>44792</v>
      </c>
      <c r="O504" t="s">
        <v>696</v>
      </c>
      <c r="P504" t="s">
        <v>557</v>
      </c>
    </row>
    <row r="505" spans="1:16">
      <c r="A505">
        <v>120</v>
      </c>
      <c r="B505" t="s">
        <v>244</v>
      </c>
      <c r="C505" t="s">
        <v>244</v>
      </c>
      <c r="D505" t="s">
        <v>427</v>
      </c>
      <c r="E505" t="s">
        <v>107</v>
      </c>
      <c r="G505" t="s">
        <v>113</v>
      </c>
      <c r="H505" t="s">
        <v>245</v>
      </c>
      <c r="I505">
        <v>88</v>
      </c>
      <c r="J505">
        <v>240</v>
      </c>
      <c r="K505">
        <v>32</v>
      </c>
      <c r="L505">
        <v>0</v>
      </c>
      <c r="M505" t="s">
        <v>101</v>
      </c>
      <c r="N505">
        <v>44802</v>
      </c>
      <c r="O505" t="s">
        <v>696</v>
      </c>
      <c r="P505" t="s">
        <v>555</v>
      </c>
    </row>
    <row r="506" spans="1:16">
      <c r="A506">
        <v>119</v>
      </c>
      <c r="B506" t="s">
        <v>243</v>
      </c>
      <c r="C506" t="s">
        <v>243</v>
      </c>
      <c r="D506" t="s">
        <v>426</v>
      </c>
      <c r="E506" t="s">
        <v>21</v>
      </c>
      <c r="G506" t="s">
        <v>100</v>
      </c>
      <c r="H506">
        <v>999</v>
      </c>
      <c r="I506">
        <v>37</v>
      </c>
      <c r="J506">
        <v>351</v>
      </c>
      <c r="K506">
        <v>69</v>
      </c>
      <c r="L506">
        <v>0</v>
      </c>
      <c r="M506" t="s">
        <v>101</v>
      </c>
      <c r="N506">
        <v>44819</v>
      </c>
      <c r="O506" t="s">
        <v>696</v>
      </c>
      <c r="P506" t="s">
        <v>554</v>
      </c>
    </row>
    <row r="507" spans="1:16">
      <c r="A507">
        <v>19</v>
      </c>
      <c r="B507" t="s">
        <v>241</v>
      </c>
      <c r="C507" t="s">
        <v>241</v>
      </c>
      <c r="D507" t="s">
        <v>425</v>
      </c>
      <c r="E507" t="s">
        <v>107</v>
      </c>
      <c r="G507" t="s">
        <v>113</v>
      </c>
      <c r="H507" t="s">
        <v>242</v>
      </c>
      <c r="I507">
        <v>73</v>
      </c>
      <c r="J507">
        <v>1148</v>
      </c>
      <c r="K507">
        <v>505</v>
      </c>
      <c r="L507">
        <v>25</v>
      </c>
      <c r="M507" t="s">
        <v>101</v>
      </c>
      <c r="N507">
        <v>44890</v>
      </c>
      <c r="O507" t="s">
        <v>696</v>
      </c>
      <c r="P507" t="s">
        <v>553</v>
      </c>
    </row>
    <row r="508" spans="1:16">
      <c r="A508">
        <v>10</v>
      </c>
      <c r="B508" t="s">
        <v>239</v>
      </c>
      <c r="C508" t="s">
        <v>239</v>
      </c>
      <c r="D508" t="s">
        <v>424</v>
      </c>
      <c r="E508" t="s">
        <v>15</v>
      </c>
      <c r="G508" t="s">
        <v>108</v>
      </c>
      <c r="H508" t="s">
        <v>240</v>
      </c>
      <c r="I508">
        <v>49</v>
      </c>
      <c r="J508">
        <v>2039</v>
      </c>
      <c r="K508">
        <v>1587</v>
      </c>
      <c r="L508">
        <v>66</v>
      </c>
      <c r="M508" t="s">
        <v>101</v>
      </c>
      <c r="N508">
        <v>44896</v>
      </c>
      <c r="O508" t="s">
        <v>696</v>
      </c>
      <c r="P508" t="s">
        <v>28</v>
      </c>
    </row>
    <row r="509" spans="1:16">
      <c r="A509">
        <v>118</v>
      </c>
      <c r="B509" t="s">
        <v>237</v>
      </c>
      <c r="C509" t="s">
        <v>237</v>
      </c>
      <c r="D509" t="s">
        <v>423</v>
      </c>
      <c r="E509" t="s">
        <v>238</v>
      </c>
      <c r="G509" t="s">
        <v>100</v>
      </c>
      <c r="H509">
        <v>1799</v>
      </c>
      <c r="I509">
        <v>24</v>
      </c>
      <c r="J509">
        <v>42</v>
      </c>
      <c r="K509">
        <v>10</v>
      </c>
      <c r="L509">
        <v>0</v>
      </c>
      <c r="M509" t="s">
        <v>101</v>
      </c>
      <c r="N509">
        <v>44904</v>
      </c>
      <c r="O509" t="s">
        <v>696</v>
      </c>
      <c r="P509" t="s">
        <v>552</v>
      </c>
    </row>
    <row r="510" spans="1:16">
      <c r="A510">
        <v>117</v>
      </c>
      <c r="B510" t="s">
        <v>156</v>
      </c>
      <c r="C510" t="s">
        <v>156</v>
      </c>
      <c r="D510" t="s">
        <v>422</v>
      </c>
      <c r="E510" t="s">
        <v>18</v>
      </c>
      <c r="G510" t="s">
        <v>108</v>
      </c>
      <c r="H510" t="s">
        <v>233</v>
      </c>
      <c r="I510">
        <v>35</v>
      </c>
      <c r="J510">
        <v>850</v>
      </c>
      <c r="K510">
        <v>514</v>
      </c>
      <c r="L510">
        <v>0</v>
      </c>
      <c r="M510" t="s">
        <v>101</v>
      </c>
      <c r="N510">
        <v>45065</v>
      </c>
      <c r="O510" t="s">
        <v>696</v>
      </c>
      <c r="P510" t="s">
        <v>30</v>
      </c>
    </row>
    <row r="511" spans="1:16">
      <c r="A511">
        <v>116</v>
      </c>
      <c r="B511" t="s">
        <v>232</v>
      </c>
      <c r="C511" t="s">
        <v>232</v>
      </c>
      <c r="D511" t="s">
        <v>421</v>
      </c>
      <c r="E511" t="s">
        <v>64</v>
      </c>
      <c r="G511" t="s">
        <v>100</v>
      </c>
      <c r="H511">
        <v>4199</v>
      </c>
      <c r="I511">
        <v>177</v>
      </c>
      <c r="J511">
        <v>160</v>
      </c>
      <c r="K511">
        <v>11</v>
      </c>
      <c r="L511">
        <v>0</v>
      </c>
      <c r="M511" t="s">
        <v>101</v>
      </c>
      <c r="N511">
        <v>45086</v>
      </c>
      <c r="O511" t="s">
        <v>696</v>
      </c>
      <c r="P511" t="s">
        <v>550</v>
      </c>
    </row>
    <row r="512" spans="1:16">
      <c r="A512">
        <v>56</v>
      </c>
      <c r="B512" t="s">
        <v>230</v>
      </c>
      <c r="C512" t="s">
        <v>230</v>
      </c>
      <c r="D512" t="s">
        <v>420</v>
      </c>
      <c r="E512" t="s">
        <v>69</v>
      </c>
      <c r="G512" t="s">
        <v>113</v>
      </c>
      <c r="H512" t="s">
        <v>231</v>
      </c>
      <c r="I512">
        <v>56</v>
      </c>
      <c r="J512">
        <v>100</v>
      </c>
      <c r="K512">
        <v>27</v>
      </c>
      <c r="L512">
        <v>2</v>
      </c>
      <c r="M512" t="s">
        <v>101</v>
      </c>
      <c r="N512">
        <v>45155</v>
      </c>
      <c r="O512" t="s">
        <v>696</v>
      </c>
      <c r="P512" t="s">
        <v>549</v>
      </c>
    </row>
    <row r="513" spans="1:16">
      <c r="A513">
        <v>115</v>
      </c>
      <c r="B513" t="s">
        <v>229</v>
      </c>
      <c r="C513" t="s">
        <v>229</v>
      </c>
      <c r="D513" t="s">
        <v>419</v>
      </c>
      <c r="E513" t="s">
        <v>107</v>
      </c>
      <c r="G513" t="s">
        <v>100</v>
      </c>
      <c r="H513">
        <v>2999</v>
      </c>
      <c r="I513">
        <v>50</v>
      </c>
      <c r="J513">
        <v>31</v>
      </c>
      <c r="K513">
        <v>2</v>
      </c>
      <c r="L513">
        <v>0</v>
      </c>
      <c r="M513" t="s">
        <v>101</v>
      </c>
      <c r="N513">
        <v>45163</v>
      </c>
      <c r="O513" t="s">
        <v>696</v>
      </c>
      <c r="P513" t="s">
        <v>548</v>
      </c>
    </row>
    <row r="514" spans="1:16">
      <c r="A514">
        <v>114</v>
      </c>
      <c r="B514" t="s">
        <v>225</v>
      </c>
      <c r="C514" t="s">
        <v>225</v>
      </c>
      <c r="D514" t="s">
        <v>417</v>
      </c>
      <c r="E514" t="s">
        <v>73</v>
      </c>
      <c r="G514" t="s">
        <v>127</v>
      </c>
      <c r="H514" t="s">
        <v>226</v>
      </c>
      <c r="I514">
        <v>100</v>
      </c>
      <c r="J514">
        <v>31</v>
      </c>
      <c r="K514">
        <v>2</v>
      </c>
      <c r="L514">
        <v>0</v>
      </c>
      <c r="M514" t="s">
        <v>101</v>
      </c>
      <c r="N514">
        <v>45196</v>
      </c>
      <c r="O514" t="s">
        <v>696</v>
      </c>
      <c r="P514" t="s">
        <v>546</v>
      </c>
    </row>
    <row r="515" spans="1:16">
      <c r="A515">
        <v>113</v>
      </c>
      <c r="B515" t="s">
        <v>224</v>
      </c>
      <c r="C515" t="s">
        <v>224</v>
      </c>
      <c r="D515" t="s">
        <v>416</v>
      </c>
      <c r="E515" t="s">
        <v>75</v>
      </c>
      <c r="G515" t="s">
        <v>100</v>
      </c>
      <c r="H515">
        <v>3699</v>
      </c>
      <c r="I515">
        <v>5</v>
      </c>
      <c r="J515">
        <v>148</v>
      </c>
      <c r="K515">
        <v>20</v>
      </c>
      <c r="L515">
        <v>0</v>
      </c>
      <c r="M515" t="s">
        <v>101</v>
      </c>
      <c r="N515">
        <v>45217</v>
      </c>
      <c r="O515" t="s">
        <v>696</v>
      </c>
      <c r="P515" t="s">
        <v>545</v>
      </c>
    </row>
    <row r="516" spans="1:16">
      <c r="A516">
        <v>73</v>
      </c>
      <c r="B516" t="s">
        <v>222</v>
      </c>
      <c r="C516" t="s">
        <v>222</v>
      </c>
      <c r="D516" t="s">
        <v>415</v>
      </c>
      <c r="E516" t="s">
        <v>107</v>
      </c>
      <c r="G516" t="s">
        <v>108</v>
      </c>
      <c r="H516" t="s">
        <v>223</v>
      </c>
      <c r="I516">
        <v>18</v>
      </c>
      <c r="J516">
        <v>244</v>
      </c>
      <c r="K516">
        <v>130</v>
      </c>
      <c r="L516">
        <v>1</v>
      </c>
      <c r="M516" t="s">
        <v>101</v>
      </c>
      <c r="N516">
        <v>45225</v>
      </c>
      <c r="O516" t="s">
        <v>696</v>
      </c>
      <c r="P516" t="s">
        <v>544</v>
      </c>
    </row>
    <row r="517" spans="1:16">
      <c r="A517">
        <v>150</v>
      </c>
      <c r="B517" t="s">
        <v>1399</v>
      </c>
      <c r="C517" t="e">
        <v>#N/A</v>
      </c>
      <c r="D517" t="s">
        <v>1400</v>
      </c>
    </row>
    <row r="518" spans="1:16">
      <c r="A518">
        <v>139</v>
      </c>
      <c r="B518" t="s">
        <v>1025</v>
      </c>
      <c r="C518" t="e">
        <v>#N/A</v>
      </c>
      <c r="D518" t="s">
        <v>1024</v>
      </c>
    </row>
    <row r="519" spans="1:16">
      <c r="A519">
        <v>112</v>
      </c>
      <c r="B519" t="s">
        <v>220</v>
      </c>
      <c r="C519" t="s">
        <v>220</v>
      </c>
      <c r="D519" t="s">
        <v>413</v>
      </c>
      <c r="E519" t="s">
        <v>107</v>
      </c>
      <c r="G519" t="s">
        <v>100</v>
      </c>
      <c r="H519">
        <v>899</v>
      </c>
      <c r="I519">
        <v>20</v>
      </c>
      <c r="J519">
        <v>93</v>
      </c>
      <c r="K519">
        <v>22</v>
      </c>
      <c r="L519">
        <v>0</v>
      </c>
      <c r="M519" t="s">
        <v>101</v>
      </c>
      <c r="N519">
        <v>45357</v>
      </c>
      <c r="O519" t="s">
        <v>696</v>
      </c>
      <c r="P519" t="s">
        <v>542</v>
      </c>
    </row>
    <row r="520" spans="1:16">
      <c r="A520">
        <v>72</v>
      </c>
      <c r="B520" t="s">
        <v>218</v>
      </c>
      <c r="C520" t="s">
        <v>218</v>
      </c>
      <c r="D520" t="s">
        <v>412</v>
      </c>
      <c r="E520" t="s">
        <v>52</v>
      </c>
      <c r="G520" t="s">
        <v>113</v>
      </c>
      <c r="H520" t="s">
        <v>219</v>
      </c>
      <c r="I520">
        <v>19</v>
      </c>
      <c r="J520">
        <v>105</v>
      </c>
      <c r="K520">
        <v>11</v>
      </c>
      <c r="L520">
        <v>1</v>
      </c>
      <c r="M520" t="s">
        <v>101</v>
      </c>
      <c r="N520">
        <v>45377</v>
      </c>
      <c r="O520" t="s">
        <v>696</v>
      </c>
      <c r="P520" t="s">
        <v>541</v>
      </c>
    </row>
    <row r="521" spans="1:16">
      <c r="A521">
        <v>148</v>
      </c>
      <c r="B521" t="s">
        <v>1179</v>
      </c>
      <c r="C521" t="e">
        <v>#N/A</v>
      </c>
      <c r="D521" t="s">
        <v>1180</v>
      </c>
    </row>
    <row r="522" spans="1:16">
      <c r="A522">
        <v>144</v>
      </c>
      <c r="B522" t="s">
        <v>1160</v>
      </c>
      <c r="C522" t="e">
        <v>#N/A</v>
      </c>
      <c r="D522" t="s">
        <v>1161</v>
      </c>
    </row>
    <row r="523" spans="1:16">
      <c r="A523">
        <v>111</v>
      </c>
      <c r="B523" t="s">
        <v>214</v>
      </c>
      <c r="C523" t="s">
        <v>214</v>
      </c>
      <c r="D523" t="s">
        <v>410</v>
      </c>
      <c r="E523" t="s">
        <v>215</v>
      </c>
      <c r="G523" t="s">
        <v>113</v>
      </c>
      <c r="H523" t="s">
        <v>216</v>
      </c>
      <c r="I523">
        <v>40</v>
      </c>
      <c r="J523">
        <v>28</v>
      </c>
      <c r="K523">
        <v>5</v>
      </c>
      <c r="L523">
        <v>0</v>
      </c>
      <c r="M523" t="s">
        <v>101</v>
      </c>
      <c r="N523">
        <v>45425</v>
      </c>
      <c r="O523" t="s">
        <v>696</v>
      </c>
      <c r="P523" t="s">
        <v>539</v>
      </c>
    </row>
    <row r="524" spans="1:16">
      <c r="A524">
        <v>110</v>
      </c>
      <c r="B524" t="s">
        <v>211</v>
      </c>
      <c r="C524" t="s">
        <v>211</v>
      </c>
      <c r="D524" t="s">
        <v>409</v>
      </c>
      <c r="E524" t="s">
        <v>212</v>
      </c>
      <c r="G524" t="s">
        <v>113</v>
      </c>
      <c r="H524" t="s">
        <v>213</v>
      </c>
      <c r="I524">
        <v>93</v>
      </c>
      <c r="J524">
        <v>37</v>
      </c>
      <c r="K524">
        <v>3</v>
      </c>
      <c r="L524">
        <v>0</v>
      </c>
      <c r="M524" t="s">
        <v>101</v>
      </c>
      <c r="N524">
        <v>45426</v>
      </c>
      <c r="O524" t="s">
        <v>696</v>
      </c>
      <c r="P524" t="s">
        <v>538</v>
      </c>
    </row>
    <row r="525" spans="1:16">
      <c r="A525">
        <v>109</v>
      </c>
      <c r="B525" t="s">
        <v>209</v>
      </c>
      <c r="C525" t="s">
        <v>209</v>
      </c>
      <c r="D525" t="s">
        <v>408</v>
      </c>
      <c r="E525" t="s">
        <v>73</v>
      </c>
      <c r="G525" t="s">
        <v>206</v>
      </c>
      <c r="H525" t="s">
        <v>210</v>
      </c>
      <c r="I525">
        <v>100</v>
      </c>
      <c r="J525">
        <v>54</v>
      </c>
      <c r="K525">
        <v>2</v>
      </c>
      <c r="L525">
        <v>0</v>
      </c>
      <c r="M525" t="s">
        <v>101</v>
      </c>
      <c r="N525">
        <v>45426</v>
      </c>
      <c r="O525" t="s">
        <v>696</v>
      </c>
      <c r="P525" t="s">
        <v>537</v>
      </c>
    </row>
    <row r="526" spans="1:16">
      <c r="A526">
        <v>108</v>
      </c>
      <c r="B526" t="s">
        <v>208</v>
      </c>
      <c r="C526" t="s">
        <v>208</v>
      </c>
      <c r="D526" t="s">
        <v>407</v>
      </c>
      <c r="E526" t="s">
        <v>72</v>
      </c>
      <c r="G526" t="s">
        <v>100</v>
      </c>
      <c r="H526">
        <v>5699</v>
      </c>
      <c r="I526">
        <v>996</v>
      </c>
      <c r="J526">
        <v>12</v>
      </c>
      <c r="K526">
        <v>1</v>
      </c>
      <c r="L526">
        <v>0</v>
      </c>
      <c r="M526" t="s">
        <v>101</v>
      </c>
      <c r="N526">
        <v>45441</v>
      </c>
      <c r="O526" t="s">
        <v>696</v>
      </c>
      <c r="P526" t="s">
        <v>535</v>
      </c>
    </row>
    <row r="527" spans="1:16">
      <c r="A527">
        <v>107</v>
      </c>
      <c r="B527" t="s">
        <v>204</v>
      </c>
      <c r="C527" t="s">
        <v>204</v>
      </c>
      <c r="D527" t="s">
        <v>406</v>
      </c>
      <c r="E527" t="s">
        <v>205</v>
      </c>
      <c r="G527" t="s">
        <v>206</v>
      </c>
      <c r="H527" t="s">
        <v>207</v>
      </c>
      <c r="I527">
        <v>3010</v>
      </c>
      <c r="J527">
        <v>7</v>
      </c>
      <c r="K527">
        <v>0</v>
      </c>
      <c r="L527">
        <v>0</v>
      </c>
      <c r="M527" t="s">
        <v>101</v>
      </c>
      <c r="N527">
        <v>45441</v>
      </c>
      <c r="O527" t="s">
        <v>696</v>
      </c>
      <c r="P527" t="s">
        <v>534</v>
      </c>
    </row>
    <row r="528" spans="1:16">
      <c r="A528">
        <v>106</v>
      </c>
      <c r="B528" t="s">
        <v>201</v>
      </c>
      <c r="C528" t="e">
        <v>#N/A</v>
      </c>
      <c r="D528" t="s">
        <v>405</v>
      </c>
      <c r="E528" t="s">
        <v>202</v>
      </c>
      <c r="G528" t="s">
        <v>113</v>
      </c>
      <c r="H528" t="s">
        <v>203</v>
      </c>
      <c r="I528">
        <v>1500</v>
      </c>
      <c r="J528">
        <v>5</v>
      </c>
      <c r="K528">
        <v>0</v>
      </c>
      <c r="L528">
        <v>0</v>
      </c>
      <c r="M528" t="s">
        <v>101</v>
      </c>
      <c r="N528">
        <v>45441</v>
      </c>
      <c r="O528" t="s">
        <v>696</v>
      </c>
      <c r="P528" t="s">
        <v>533</v>
      </c>
    </row>
    <row r="529" spans="1:16">
      <c r="A529">
        <v>105</v>
      </c>
      <c r="B529" t="s">
        <v>198</v>
      </c>
      <c r="C529" t="s">
        <v>198</v>
      </c>
      <c r="D529" t="s">
        <v>403</v>
      </c>
      <c r="E529" t="s">
        <v>107</v>
      </c>
      <c r="G529" t="s">
        <v>100</v>
      </c>
      <c r="H529">
        <v>779</v>
      </c>
      <c r="I529">
        <v>50</v>
      </c>
      <c r="J529">
        <v>46</v>
      </c>
      <c r="K529">
        <v>59</v>
      </c>
      <c r="L529">
        <v>0</v>
      </c>
      <c r="M529" t="s">
        <v>101</v>
      </c>
      <c r="N529">
        <v>45457</v>
      </c>
      <c r="O529" t="s">
        <v>696</v>
      </c>
      <c r="P529" t="s">
        <v>532</v>
      </c>
    </row>
    <row r="530" spans="1:16">
      <c r="A530">
        <v>147</v>
      </c>
      <c r="B530" t="s">
        <v>1177</v>
      </c>
      <c r="C530" t="e">
        <v>#N/A</v>
      </c>
      <c r="D530" t="s">
        <v>1178</v>
      </c>
    </row>
    <row r="531" spans="1:16">
      <c r="A531">
        <v>104</v>
      </c>
      <c r="B531" t="s">
        <v>197</v>
      </c>
      <c r="C531" t="s">
        <v>197</v>
      </c>
      <c r="D531" t="s">
        <v>402</v>
      </c>
      <c r="E531" t="s">
        <v>77</v>
      </c>
      <c r="G531" t="s">
        <v>100</v>
      </c>
      <c r="H531">
        <v>899</v>
      </c>
      <c r="I531">
        <v>10</v>
      </c>
      <c r="J531">
        <v>10</v>
      </c>
      <c r="K531">
        <v>1</v>
      </c>
      <c r="L531">
        <v>0</v>
      </c>
      <c r="M531" t="s">
        <v>101</v>
      </c>
      <c r="N531">
        <v>45573</v>
      </c>
      <c r="O531" t="s">
        <v>696</v>
      </c>
      <c r="P531" t="s">
        <v>531</v>
      </c>
    </row>
    <row r="532" spans="1:16">
      <c r="A532">
        <v>12</v>
      </c>
      <c r="B532" t="s">
        <v>195</v>
      </c>
      <c r="C532" t="s">
        <v>195</v>
      </c>
      <c r="D532" t="s">
        <v>401</v>
      </c>
      <c r="E532" t="s">
        <v>24</v>
      </c>
      <c r="G532" t="s">
        <v>108</v>
      </c>
      <c r="H532" t="s">
        <v>196</v>
      </c>
      <c r="I532">
        <v>19</v>
      </c>
      <c r="J532">
        <v>670</v>
      </c>
      <c r="K532">
        <v>176</v>
      </c>
      <c r="L532">
        <v>39</v>
      </c>
      <c r="M532" t="s">
        <v>101</v>
      </c>
      <c r="N532">
        <v>45573</v>
      </c>
      <c r="O532" t="s">
        <v>696</v>
      </c>
      <c r="P532" t="s">
        <v>38</v>
      </c>
    </row>
    <row r="533" spans="1:16">
      <c r="A533">
        <v>9</v>
      </c>
      <c r="B533" t="s">
        <v>193</v>
      </c>
      <c r="C533" t="e">
        <v>#N/A</v>
      </c>
      <c r="D533" t="s">
        <v>400</v>
      </c>
      <c r="E533" t="s">
        <v>11</v>
      </c>
      <c r="G533" t="s">
        <v>137</v>
      </c>
      <c r="H533" t="s">
        <v>194</v>
      </c>
      <c r="I533">
        <v>39</v>
      </c>
      <c r="J533">
        <v>1127</v>
      </c>
      <c r="K533">
        <v>372</v>
      </c>
      <c r="L533">
        <v>83</v>
      </c>
      <c r="M533" t="s">
        <v>101</v>
      </c>
      <c r="N533">
        <v>45573</v>
      </c>
      <c r="O533" t="s">
        <v>696</v>
      </c>
      <c r="P533" t="s">
        <v>32</v>
      </c>
    </row>
    <row r="534" spans="1:16">
      <c r="A534">
        <v>103</v>
      </c>
      <c r="B534" t="s">
        <v>191</v>
      </c>
      <c r="C534" t="s">
        <v>191</v>
      </c>
      <c r="D534" t="s">
        <v>399</v>
      </c>
      <c r="E534" t="s">
        <v>107</v>
      </c>
      <c r="G534" t="s">
        <v>100</v>
      </c>
      <c r="H534" t="s">
        <v>192</v>
      </c>
      <c r="I534">
        <v>58</v>
      </c>
      <c r="J534">
        <v>4</v>
      </c>
      <c r="K534">
        <v>62</v>
      </c>
      <c r="L534">
        <v>0</v>
      </c>
      <c r="M534" t="s">
        <v>101</v>
      </c>
      <c r="N534">
        <v>45586</v>
      </c>
      <c r="O534" t="s">
        <v>696</v>
      </c>
      <c r="P534" t="s">
        <v>530</v>
      </c>
    </row>
    <row r="535" spans="1:16">
      <c r="A535">
        <v>102</v>
      </c>
      <c r="B535" t="s">
        <v>187</v>
      </c>
      <c r="C535" t="s">
        <v>187</v>
      </c>
      <c r="D535" t="s">
        <v>397</v>
      </c>
      <c r="E535" t="s">
        <v>188</v>
      </c>
      <c r="G535" t="s">
        <v>100</v>
      </c>
      <c r="H535" t="s">
        <v>189</v>
      </c>
      <c r="I535">
        <v>101</v>
      </c>
      <c r="J535">
        <v>17</v>
      </c>
      <c r="K535">
        <v>3</v>
      </c>
      <c r="L535">
        <v>0</v>
      </c>
      <c r="M535" t="s">
        <v>101</v>
      </c>
      <c r="N535">
        <v>45617</v>
      </c>
      <c r="O535" t="s">
        <v>696</v>
      </c>
      <c r="P535" t="s">
        <v>528</v>
      </c>
    </row>
    <row r="536" spans="1:16">
      <c r="A536">
        <v>13</v>
      </c>
      <c r="B536" t="s">
        <v>184</v>
      </c>
      <c r="C536" t="e">
        <v>#N/A</v>
      </c>
      <c r="D536" t="s">
        <v>396</v>
      </c>
      <c r="E536" t="s">
        <v>185</v>
      </c>
      <c r="G536" t="s">
        <v>108</v>
      </c>
      <c r="H536" t="s">
        <v>186</v>
      </c>
      <c r="I536">
        <v>20</v>
      </c>
      <c r="J536">
        <v>241</v>
      </c>
      <c r="K536">
        <v>96</v>
      </c>
      <c r="L536">
        <v>38</v>
      </c>
      <c r="M536" t="s">
        <v>101</v>
      </c>
      <c r="N536">
        <v>45617</v>
      </c>
      <c r="O536" t="s">
        <v>696</v>
      </c>
      <c r="P536" t="s">
        <v>527</v>
      </c>
    </row>
    <row r="537" spans="1:16">
      <c r="A537">
        <v>101</v>
      </c>
      <c r="B537" t="s">
        <v>183</v>
      </c>
      <c r="C537" t="s">
        <v>1869</v>
      </c>
      <c r="D537" t="s">
        <v>395</v>
      </c>
      <c r="E537" t="s">
        <v>107</v>
      </c>
      <c r="G537" t="s">
        <v>100</v>
      </c>
      <c r="H537" t="s">
        <v>123</v>
      </c>
      <c r="I537">
        <v>57</v>
      </c>
      <c r="J537">
        <v>621</v>
      </c>
      <c r="K537">
        <v>203</v>
      </c>
      <c r="L537">
        <v>0</v>
      </c>
      <c r="M537" t="s">
        <v>101</v>
      </c>
      <c r="N537">
        <v>45659</v>
      </c>
      <c r="O537" t="s">
        <v>696</v>
      </c>
      <c r="P537" t="s">
        <v>526</v>
      </c>
    </row>
    <row r="538" spans="1:16">
      <c r="A538">
        <v>55</v>
      </c>
      <c r="B538" t="s">
        <v>181</v>
      </c>
      <c r="C538" t="s">
        <v>181</v>
      </c>
      <c r="D538" t="s">
        <v>394</v>
      </c>
      <c r="E538" t="s">
        <v>20</v>
      </c>
      <c r="G538" t="s">
        <v>100</v>
      </c>
      <c r="H538" t="s">
        <v>182</v>
      </c>
      <c r="I538">
        <v>9</v>
      </c>
      <c r="J538">
        <v>39</v>
      </c>
      <c r="K538">
        <v>6</v>
      </c>
      <c r="L538">
        <v>2</v>
      </c>
      <c r="M538" t="s">
        <v>101</v>
      </c>
      <c r="N538">
        <v>45673</v>
      </c>
      <c r="O538" t="s">
        <v>696</v>
      </c>
      <c r="P538" t="s">
        <v>525</v>
      </c>
    </row>
    <row r="539" spans="1:16">
      <c r="A539">
        <v>71</v>
      </c>
      <c r="B539" t="s">
        <v>180</v>
      </c>
      <c r="C539" t="s">
        <v>1870</v>
      </c>
      <c r="D539" t="s">
        <v>393</v>
      </c>
      <c r="E539" t="s">
        <v>19</v>
      </c>
      <c r="G539" t="s">
        <v>100</v>
      </c>
      <c r="H539">
        <v>1099</v>
      </c>
      <c r="I539">
        <v>20</v>
      </c>
      <c r="J539">
        <v>18</v>
      </c>
      <c r="K539">
        <v>1</v>
      </c>
      <c r="L539">
        <v>1</v>
      </c>
      <c r="M539" t="s">
        <v>101</v>
      </c>
      <c r="N539">
        <v>45673</v>
      </c>
      <c r="O539" t="s">
        <v>696</v>
      </c>
      <c r="P539" t="s">
        <v>524</v>
      </c>
    </row>
    <row r="540" spans="1:16">
      <c r="A540">
        <v>47</v>
      </c>
      <c r="B540" t="s">
        <v>178</v>
      </c>
      <c r="C540" t="s">
        <v>178</v>
      </c>
      <c r="D540" t="s">
        <v>392</v>
      </c>
      <c r="E540" t="s">
        <v>107</v>
      </c>
      <c r="G540" t="s">
        <v>100</v>
      </c>
      <c r="H540" t="s">
        <v>179</v>
      </c>
      <c r="I540">
        <v>96</v>
      </c>
      <c r="J540">
        <v>36</v>
      </c>
      <c r="K540">
        <v>3</v>
      </c>
      <c r="L540">
        <v>3</v>
      </c>
      <c r="M540" t="s">
        <v>101</v>
      </c>
      <c r="N540">
        <v>45701</v>
      </c>
      <c r="O540" t="s">
        <v>696</v>
      </c>
      <c r="P540" t="s">
        <v>523</v>
      </c>
    </row>
    <row r="541" spans="1:16">
      <c r="A541">
        <v>140</v>
      </c>
      <c r="B541" t="s">
        <v>1152</v>
      </c>
      <c r="C541" t="e">
        <v>#N/A</v>
      </c>
      <c r="D541" t="s">
        <v>1153</v>
      </c>
    </row>
    <row r="542" spans="1:16">
      <c r="A542">
        <v>34</v>
      </c>
      <c r="B542" t="s">
        <v>177</v>
      </c>
      <c r="C542" t="s">
        <v>177</v>
      </c>
      <c r="D542" t="s">
        <v>391</v>
      </c>
      <c r="E542" t="s">
        <v>54</v>
      </c>
      <c r="G542" t="s">
        <v>100</v>
      </c>
      <c r="H542">
        <v>114</v>
      </c>
      <c r="I542">
        <v>11</v>
      </c>
      <c r="J542">
        <v>67</v>
      </c>
      <c r="K542">
        <v>33</v>
      </c>
      <c r="L542">
        <v>8</v>
      </c>
      <c r="M542" t="s">
        <v>101</v>
      </c>
      <c r="N542">
        <v>45707</v>
      </c>
      <c r="O542" t="s">
        <v>696</v>
      </c>
      <c r="P542" t="s">
        <v>522</v>
      </c>
    </row>
    <row r="543" spans="1:16">
      <c r="A543">
        <v>46</v>
      </c>
      <c r="B543" t="s">
        <v>175</v>
      </c>
      <c r="C543" t="s">
        <v>175</v>
      </c>
      <c r="D543" t="s">
        <v>390</v>
      </c>
      <c r="E543" t="s">
        <v>7</v>
      </c>
      <c r="G543" t="s">
        <v>113</v>
      </c>
      <c r="H543" t="s">
        <v>176</v>
      </c>
      <c r="I543">
        <v>45</v>
      </c>
      <c r="J543">
        <v>46</v>
      </c>
      <c r="K543">
        <v>5</v>
      </c>
      <c r="L543">
        <v>3</v>
      </c>
      <c r="M543" t="s">
        <v>101</v>
      </c>
      <c r="N543">
        <v>45716</v>
      </c>
      <c r="O543" t="s">
        <v>696</v>
      </c>
      <c r="P543" t="s">
        <v>35</v>
      </c>
    </row>
    <row r="544" spans="1:16">
      <c r="A544">
        <v>100</v>
      </c>
      <c r="B544" t="s">
        <v>173</v>
      </c>
      <c r="C544" t="s">
        <v>173</v>
      </c>
      <c r="D544" t="s">
        <v>389</v>
      </c>
      <c r="E544" t="s">
        <v>63</v>
      </c>
      <c r="G544" t="s">
        <v>113</v>
      </c>
      <c r="H544" t="s">
        <v>174</v>
      </c>
      <c r="I544">
        <v>31</v>
      </c>
      <c r="J544">
        <v>20</v>
      </c>
      <c r="K544">
        <v>3</v>
      </c>
      <c r="L544">
        <v>0</v>
      </c>
      <c r="M544" t="s">
        <v>101</v>
      </c>
      <c r="N544">
        <v>45764</v>
      </c>
      <c r="O544" t="s">
        <v>696</v>
      </c>
      <c r="P544" t="s">
        <v>521</v>
      </c>
    </row>
    <row r="545" spans="1:16">
      <c r="A545">
        <v>33</v>
      </c>
      <c r="B545" t="s">
        <v>170</v>
      </c>
      <c r="C545" t="s">
        <v>170</v>
      </c>
      <c r="D545" t="s">
        <v>388</v>
      </c>
      <c r="E545" t="s">
        <v>107</v>
      </c>
      <c r="G545" t="s">
        <v>171</v>
      </c>
      <c r="H545" t="s">
        <v>172</v>
      </c>
      <c r="I545">
        <v>53</v>
      </c>
      <c r="J545">
        <v>100</v>
      </c>
      <c r="K545">
        <v>59</v>
      </c>
      <c r="L545">
        <v>8</v>
      </c>
      <c r="M545" t="s">
        <v>101</v>
      </c>
      <c r="N545">
        <v>45772</v>
      </c>
      <c r="O545" t="s">
        <v>696</v>
      </c>
      <c r="P545" t="s">
        <v>29</v>
      </c>
    </row>
    <row r="546" spans="1:16">
      <c r="A546">
        <v>44</v>
      </c>
      <c r="B546" t="s">
        <v>168</v>
      </c>
      <c r="C546" t="s">
        <v>168</v>
      </c>
      <c r="D546" t="s">
        <v>387</v>
      </c>
      <c r="E546" t="s">
        <v>6</v>
      </c>
      <c r="G546" t="s">
        <v>100</v>
      </c>
      <c r="H546" t="s">
        <v>169</v>
      </c>
      <c r="I546">
        <v>23</v>
      </c>
      <c r="J546">
        <v>42</v>
      </c>
      <c r="K546">
        <v>9</v>
      </c>
      <c r="L546">
        <v>4</v>
      </c>
      <c r="M546" t="s">
        <v>101</v>
      </c>
      <c r="N546">
        <v>45775</v>
      </c>
      <c r="O546" t="s">
        <v>696</v>
      </c>
      <c r="P546" t="s">
        <v>520</v>
      </c>
    </row>
    <row r="547" spans="1:16">
      <c r="A547">
        <v>11</v>
      </c>
      <c r="B547" t="s">
        <v>166</v>
      </c>
      <c r="C547" t="e">
        <v>#N/A</v>
      </c>
      <c r="D547" t="s">
        <v>386</v>
      </c>
      <c r="E547" t="s">
        <v>22</v>
      </c>
      <c r="G547" t="s">
        <v>108</v>
      </c>
      <c r="H547" t="s">
        <v>167</v>
      </c>
      <c r="I547">
        <v>35</v>
      </c>
      <c r="J547">
        <v>747</v>
      </c>
      <c r="K547">
        <v>234</v>
      </c>
      <c r="L547">
        <v>59</v>
      </c>
      <c r="M547" t="s">
        <v>101</v>
      </c>
      <c r="N547">
        <v>45784</v>
      </c>
      <c r="O547" t="s">
        <v>696</v>
      </c>
      <c r="P547" t="s">
        <v>519</v>
      </c>
    </row>
    <row r="548" spans="1:16">
      <c r="A548">
        <v>145</v>
      </c>
      <c r="B548" t="s">
        <v>1162</v>
      </c>
      <c r="C548" t="e">
        <v>#N/A</v>
      </c>
      <c r="D548" t="s">
        <v>1163</v>
      </c>
    </row>
    <row r="549" spans="1:16">
      <c r="A549">
        <v>17</v>
      </c>
      <c r="B549" t="s">
        <v>163</v>
      </c>
      <c r="C549" t="e">
        <v>#N/A</v>
      </c>
      <c r="D549" t="s">
        <v>385</v>
      </c>
      <c r="E549" t="s">
        <v>9</v>
      </c>
      <c r="G549" t="s">
        <v>164</v>
      </c>
      <c r="H549" t="s">
        <v>165</v>
      </c>
      <c r="I549">
        <v>26</v>
      </c>
      <c r="J549">
        <v>219</v>
      </c>
      <c r="K549">
        <v>52</v>
      </c>
      <c r="L549">
        <v>31</v>
      </c>
      <c r="M549" t="s">
        <v>101</v>
      </c>
      <c r="N549">
        <v>45798</v>
      </c>
      <c r="O549" t="s">
        <v>696</v>
      </c>
      <c r="P549" t="s">
        <v>39</v>
      </c>
    </row>
    <row r="550" spans="1:16">
      <c r="A550">
        <v>99</v>
      </c>
      <c r="B550" t="s">
        <v>162</v>
      </c>
      <c r="C550" t="s">
        <v>162</v>
      </c>
      <c r="D550" t="s">
        <v>384</v>
      </c>
      <c r="E550" t="s">
        <v>486</v>
      </c>
      <c r="G550" t="s">
        <v>100</v>
      </c>
      <c r="H550">
        <v>4599</v>
      </c>
      <c r="I550">
        <v>10</v>
      </c>
      <c r="J550">
        <v>3</v>
      </c>
      <c r="K550">
        <v>0</v>
      </c>
      <c r="L550">
        <v>0</v>
      </c>
      <c r="M550" t="s">
        <v>101</v>
      </c>
      <c r="N550">
        <v>45805</v>
      </c>
      <c r="O550" t="s">
        <v>696</v>
      </c>
      <c r="P550" t="s">
        <v>518</v>
      </c>
    </row>
    <row r="551" spans="1:16">
      <c r="A551">
        <v>98</v>
      </c>
      <c r="B551" t="s">
        <v>161</v>
      </c>
      <c r="C551" t="s">
        <v>161</v>
      </c>
      <c r="D551" t="s">
        <v>383</v>
      </c>
      <c r="E551" t="s">
        <v>485</v>
      </c>
      <c r="G551" t="s">
        <v>100</v>
      </c>
      <c r="H551">
        <v>4999</v>
      </c>
      <c r="I551">
        <v>10</v>
      </c>
      <c r="J551">
        <v>7</v>
      </c>
      <c r="K551">
        <v>0</v>
      </c>
      <c r="L551">
        <v>0</v>
      </c>
      <c r="M551" t="s">
        <v>101</v>
      </c>
      <c r="N551">
        <v>45806</v>
      </c>
      <c r="O551" t="s">
        <v>696</v>
      </c>
      <c r="P551" t="s">
        <v>517</v>
      </c>
    </row>
    <row r="552" spans="1:16">
      <c r="A552">
        <v>97</v>
      </c>
      <c r="B552" t="s">
        <v>160</v>
      </c>
      <c r="C552" t="s">
        <v>160</v>
      </c>
      <c r="D552" t="s">
        <v>382</v>
      </c>
      <c r="E552" t="s">
        <v>23</v>
      </c>
      <c r="G552" t="s">
        <v>100</v>
      </c>
      <c r="H552">
        <v>1999</v>
      </c>
      <c r="I552">
        <v>38</v>
      </c>
      <c r="J552">
        <v>14</v>
      </c>
      <c r="K552">
        <v>1</v>
      </c>
      <c r="L552">
        <v>0</v>
      </c>
      <c r="M552" t="s">
        <v>101</v>
      </c>
      <c r="N552">
        <v>45811</v>
      </c>
      <c r="O552" t="s">
        <v>696</v>
      </c>
      <c r="P552" t="s">
        <v>31</v>
      </c>
    </row>
    <row r="553" spans="1:16">
      <c r="A553">
        <v>96</v>
      </c>
      <c r="B553" t="s">
        <v>158</v>
      </c>
      <c r="C553" t="s">
        <v>158</v>
      </c>
      <c r="D553" t="s">
        <v>381</v>
      </c>
      <c r="E553" t="s">
        <v>107</v>
      </c>
      <c r="G553" t="s">
        <v>100</v>
      </c>
      <c r="H553" t="s">
        <v>159</v>
      </c>
      <c r="I553">
        <v>25</v>
      </c>
      <c r="J553">
        <v>12</v>
      </c>
      <c r="K553">
        <v>0</v>
      </c>
      <c r="L553">
        <v>0</v>
      </c>
      <c r="M553" t="s">
        <v>101</v>
      </c>
      <c r="N553">
        <v>45818</v>
      </c>
      <c r="O553" t="s">
        <v>696</v>
      </c>
      <c r="P553" t="s">
        <v>516</v>
      </c>
    </row>
    <row r="554" spans="1:16">
      <c r="A554">
        <v>95</v>
      </c>
      <c r="B554" t="s">
        <v>157</v>
      </c>
      <c r="C554" t="s">
        <v>157</v>
      </c>
      <c r="D554" t="s">
        <v>380</v>
      </c>
      <c r="E554" t="s">
        <v>107</v>
      </c>
      <c r="G554" t="s">
        <v>100</v>
      </c>
      <c r="H554">
        <v>2099</v>
      </c>
      <c r="I554">
        <v>20</v>
      </c>
      <c r="J554">
        <v>260</v>
      </c>
      <c r="K554">
        <v>38</v>
      </c>
      <c r="L554">
        <v>0</v>
      </c>
      <c r="M554" t="s">
        <v>101</v>
      </c>
      <c r="N554">
        <v>45819</v>
      </c>
      <c r="O554" t="s">
        <v>696</v>
      </c>
      <c r="P554" t="s">
        <v>515</v>
      </c>
    </row>
    <row r="555" spans="1:16">
      <c r="A555">
        <v>70</v>
      </c>
      <c r="B555" t="s">
        <v>156</v>
      </c>
      <c r="C555" t="s">
        <v>156</v>
      </c>
      <c r="D555" t="s">
        <v>379</v>
      </c>
      <c r="E555" t="s">
        <v>18</v>
      </c>
      <c r="G555" t="s">
        <v>100</v>
      </c>
      <c r="H555">
        <v>999</v>
      </c>
      <c r="I555">
        <v>38</v>
      </c>
      <c r="J555">
        <v>2</v>
      </c>
      <c r="K555">
        <v>1</v>
      </c>
      <c r="L555">
        <v>1</v>
      </c>
      <c r="M555" t="s">
        <v>101</v>
      </c>
      <c r="N555">
        <v>45820</v>
      </c>
      <c r="O555" t="s">
        <v>696</v>
      </c>
      <c r="P555" t="s">
        <v>514</v>
      </c>
    </row>
    <row r="556" spans="1:16">
      <c r="A556">
        <v>94</v>
      </c>
      <c r="B556" t="s">
        <v>154</v>
      </c>
      <c r="C556" t="s">
        <v>154</v>
      </c>
      <c r="D556" t="s">
        <v>378</v>
      </c>
      <c r="E556" t="s">
        <v>107</v>
      </c>
      <c r="G556" t="s">
        <v>100</v>
      </c>
      <c r="H556" t="s">
        <v>155</v>
      </c>
      <c r="I556">
        <v>74</v>
      </c>
      <c r="J556">
        <v>29</v>
      </c>
      <c r="K556">
        <v>4</v>
      </c>
      <c r="L556">
        <v>0</v>
      </c>
      <c r="M556" t="s">
        <v>101</v>
      </c>
      <c r="N556">
        <v>45821</v>
      </c>
      <c r="O556" t="s">
        <v>696</v>
      </c>
      <c r="P556" t="s">
        <v>513</v>
      </c>
    </row>
    <row r="557" spans="1:16">
      <c r="A557">
        <v>69</v>
      </c>
      <c r="B557" t="s">
        <v>152</v>
      </c>
      <c r="C557" t="s">
        <v>152</v>
      </c>
      <c r="D557" t="s">
        <v>377</v>
      </c>
      <c r="E557" t="s">
        <v>66</v>
      </c>
      <c r="G557" t="s">
        <v>113</v>
      </c>
      <c r="H557" t="s">
        <v>153</v>
      </c>
      <c r="I557">
        <v>8</v>
      </c>
      <c r="J557">
        <v>2</v>
      </c>
      <c r="K557">
        <v>2</v>
      </c>
      <c r="L557">
        <v>1</v>
      </c>
      <c r="M557" t="s">
        <v>101</v>
      </c>
      <c r="N557">
        <v>45825</v>
      </c>
      <c r="O557" t="s">
        <v>696</v>
      </c>
      <c r="P557" t="s">
        <v>512</v>
      </c>
    </row>
    <row r="558" spans="1:16">
      <c r="A558">
        <v>68</v>
      </c>
      <c r="B558" t="s">
        <v>150</v>
      </c>
      <c r="C558" t="s">
        <v>150</v>
      </c>
      <c r="D558" t="s">
        <v>376</v>
      </c>
      <c r="E558" t="s">
        <v>8</v>
      </c>
      <c r="G558" t="s">
        <v>113</v>
      </c>
      <c r="H558" t="s">
        <v>151</v>
      </c>
      <c r="I558">
        <v>14</v>
      </c>
      <c r="J558">
        <v>41</v>
      </c>
      <c r="K558">
        <v>6</v>
      </c>
      <c r="L558">
        <v>1</v>
      </c>
      <c r="M558" t="s">
        <v>101</v>
      </c>
      <c r="N558">
        <v>45825</v>
      </c>
      <c r="O558" t="s">
        <v>696</v>
      </c>
      <c r="P558" t="s">
        <v>33</v>
      </c>
    </row>
    <row r="559" spans="1:16">
      <c r="A559">
        <v>93</v>
      </c>
      <c r="B559" t="s">
        <v>148</v>
      </c>
      <c r="C559" t="s">
        <v>148</v>
      </c>
      <c r="D559" t="s">
        <v>375</v>
      </c>
      <c r="E559" t="s">
        <v>65</v>
      </c>
      <c r="G559" t="s">
        <v>100</v>
      </c>
      <c r="H559" t="s">
        <v>149</v>
      </c>
      <c r="I559">
        <v>10</v>
      </c>
      <c r="J559">
        <v>12</v>
      </c>
      <c r="K559">
        <v>0</v>
      </c>
      <c r="L559">
        <v>0</v>
      </c>
      <c r="M559" t="s">
        <v>101</v>
      </c>
      <c r="N559">
        <v>45826</v>
      </c>
      <c r="O559" t="s">
        <v>696</v>
      </c>
      <c r="P559" t="s">
        <v>511</v>
      </c>
    </row>
    <row r="560" spans="1:16">
      <c r="A560">
        <v>67</v>
      </c>
      <c r="B560" s="23" t="s">
        <v>112</v>
      </c>
      <c r="C560" t="s">
        <v>112</v>
      </c>
      <c r="D560" s="23" t="s">
        <v>374</v>
      </c>
      <c r="E560" t="s">
        <v>62</v>
      </c>
      <c r="G560" t="s">
        <v>100</v>
      </c>
      <c r="H560" t="s">
        <v>147</v>
      </c>
      <c r="I560">
        <v>48</v>
      </c>
      <c r="J560">
        <v>17</v>
      </c>
      <c r="K560">
        <v>2</v>
      </c>
      <c r="L560">
        <v>1</v>
      </c>
      <c r="M560" t="s">
        <v>101</v>
      </c>
      <c r="N560">
        <v>45828</v>
      </c>
      <c r="O560" t="s">
        <v>696</v>
      </c>
      <c r="P560" t="s">
        <v>510</v>
      </c>
    </row>
    <row r="561" spans="1:16">
      <c r="A561">
        <v>92</v>
      </c>
      <c r="B561" s="23" t="s">
        <v>144</v>
      </c>
      <c r="C561" t="s">
        <v>144</v>
      </c>
      <c r="D561" s="23" t="s">
        <v>373</v>
      </c>
      <c r="E561" t="s">
        <v>22</v>
      </c>
      <c r="G561" t="s">
        <v>145</v>
      </c>
      <c r="H561" t="s">
        <v>146</v>
      </c>
      <c r="I561">
        <v>20</v>
      </c>
      <c r="J561">
        <v>6</v>
      </c>
      <c r="K561">
        <v>1</v>
      </c>
      <c r="L561">
        <v>0</v>
      </c>
      <c r="M561" t="s">
        <v>101</v>
      </c>
      <c r="N561">
        <v>45831</v>
      </c>
      <c r="O561" t="s">
        <v>696</v>
      </c>
      <c r="P561" t="s">
        <v>509</v>
      </c>
    </row>
    <row r="562" spans="1:16">
      <c r="A562">
        <v>54</v>
      </c>
      <c r="B562" s="23" t="s">
        <v>141</v>
      </c>
      <c r="C562" t="s">
        <v>141</v>
      </c>
      <c r="D562" s="23" t="s">
        <v>372</v>
      </c>
      <c r="E562" t="s">
        <v>107</v>
      </c>
      <c r="G562" t="s">
        <v>142</v>
      </c>
      <c r="H562" t="s">
        <v>143</v>
      </c>
      <c r="I562">
        <v>14</v>
      </c>
      <c r="J562">
        <v>26</v>
      </c>
      <c r="K562">
        <v>5</v>
      </c>
      <c r="L562">
        <v>2</v>
      </c>
      <c r="M562" t="s">
        <v>101</v>
      </c>
      <c r="N562">
        <v>45832</v>
      </c>
      <c r="O562" t="s">
        <v>696</v>
      </c>
      <c r="P562" t="s">
        <v>508</v>
      </c>
    </row>
    <row r="563" spans="1:16">
      <c r="A563">
        <v>39</v>
      </c>
      <c r="B563" t="s">
        <v>139</v>
      </c>
      <c r="C563" t="e">
        <v>#N/A</v>
      </c>
      <c r="D563" t="s">
        <v>371</v>
      </c>
      <c r="E563" t="s">
        <v>26</v>
      </c>
      <c r="G563" t="s">
        <v>113</v>
      </c>
      <c r="H563" t="s">
        <v>140</v>
      </c>
      <c r="I563">
        <v>22</v>
      </c>
      <c r="J563">
        <v>22</v>
      </c>
      <c r="K563">
        <v>9</v>
      </c>
      <c r="L563">
        <v>5</v>
      </c>
      <c r="M563" t="s">
        <v>101</v>
      </c>
      <c r="N563">
        <v>45842</v>
      </c>
      <c r="O563" t="s">
        <v>696</v>
      </c>
      <c r="P563" t="s">
        <v>37</v>
      </c>
    </row>
    <row r="564" spans="1:16">
      <c r="A564">
        <v>16</v>
      </c>
      <c r="B564" t="s">
        <v>136</v>
      </c>
      <c r="C564" t="s">
        <v>136</v>
      </c>
      <c r="D564" t="s">
        <v>370</v>
      </c>
      <c r="E564" t="s">
        <v>26</v>
      </c>
      <c r="G564" t="s">
        <v>137</v>
      </c>
      <c r="H564" t="s">
        <v>138</v>
      </c>
      <c r="I564">
        <v>17</v>
      </c>
      <c r="J564">
        <v>70</v>
      </c>
      <c r="K564">
        <v>37</v>
      </c>
      <c r="L564">
        <v>31</v>
      </c>
      <c r="M564" t="s">
        <v>101</v>
      </c>
      <c r="N564">
        <v>45845</v>
      </c>
      <c r="O564" t="s">
        <v>696</v>
      </c>
      <c r="P564" t="s">
        <v>507</v>
      </c>
    </row>
    <row r="565" spans="1:16">
      <c r="A565">
        <v>91</v>
      </c>
      <c r="B565" t="s">
        <v>135</v>
      </c>
      <c r="C565" t="s">
        <v>135</v>
      </c>
      <c r="D565" t="s">
        <v>369</v>
      </c>
      <c r="E565" t="s">
        <v>57</v>
      </c>
      <c r="G565" t="s">
        <v>100</v>
      </c>
      <c r="H565" t="s">
        <v>132</v>
      </c>
      <c r="I565">
        <v>20</v>
      </c>
      <c r="J565">
        <v>7</v>
      </c>
      <c r="K565">
        <v>0</v>
      </c>
      <c r="L565">
        <v>0</v>
      </c>
      <c r="M565" t="s">
        <v>101</v>
      </c>
      <c r="N565">
        <v>45852</v>
      </c>
      <c r="O565" t="s">
        <v>696</v>
      </c>
      <c r="P565" t="s">
        <v>506</v>
      </c>
    </row>
    <row r="566" spans="1:16">
      <c r="A566">
        <v>90</v>
      </c>
      <c r="B566" t="s">
        <v>133</v>
      </c>
      <c r="C566" t="s">
        <v>133</v>
      </c>
      <c r="D566" s="23" t="s">
        <v>368</v>
      </c>
      <c r="E566" t="s">
        <v>56</v>
      </c>
      <c r="G566" t="s">
        <v>127</v>
      </c>
      <c r="H566" t="s">
        <v>134</v>
      </c>
      <c r="I566">
        <v>30</v>
      </c>
      <c r="J566">
        <v>28</v>
      </c>
      <c r="K566">
        <v>2</v>
      </c>
      <c r="L566">
        <v>0</v>
      </c>
      <c r="M566" t="s">
        <v>101</v>
      </c>
      <c r="N566">
        <v>45859</v>
      </c>
      <c r="O566" t="s">
        <v>696</v>
      </c>
      <c r="P566" t="s">
        <v>505</v>
      </c>
    </row>
    <row r="567" spans="1:16">
      <c r="A567">
        <v>66</v>
      </c>
      <c r="B567" t="s">
        <v>131</v>
      </c>
      <c r="C567" t="s">
        <v>131</v>
      </c>
      <c r="D567" s="23" t="s">
        <v>367</v>
      </c>
      <c r="E567" t="s">
        <v>25</v>
      </c>
      <c r="G567" t="s">
        <v>113</v>
      </c>
      <c r="H567" t="s">
        <v>132</v>
      </c>
      <c r="I567">
        <v>18</v>
      </c>
      <c r="J567">
        <v>49</v>
      </c>
      <c r="K567">
        <v>2</v>
      </c>
      <c r="L567">
        <v>1</v>
      </c>
      <c r="M567" t="s">
        <v>101</v>
      </c>
      <c r="N567">
        <v>45860</v>
      </c>
      <c r="O567" t="s">
        <v>696</v>
      </c>
      <c r="P567" t="s">
        <v>40</v>
      </c>
    </row>
    <row r="568" spans="1:16">
      <c r="A568">
        <v>29</v>
      </c>
      <c r="B568" t="s">
        <v>129</v>
      </c>
      <c r="C568" t="s">
        <v>129</v>
      </c>
      <c r="D568" s="23" t="s">
        <v>366</v>
      </c>
      <c r="E568" t="s">
        <v>107</v>
      </c>
      <c r="G568" t="s">
        <v>113</v>
      </c>
      <c r="H568" t="s">
        <v>130</v>
      </c>
      <c r="I568">
        <v>31</v>
      </c>
      <c r="J568">
        <v>48</v>
      </c>
      <c r="K568">
        <v>15</v>
      </c>
      <c r="L568">
        <v>10</v>
      </c>
      <c r="M568" t="s">
        <v>101</v>
      </c>
      <c r="N568">
        <v>45861</v>
      </c>
      <c r="O568" t="s">
        <v>696</v>
      </c>
      <c r="P568" t="s">
        <v>504</v>
      </c>
    </row>
    <row r="569" spans="1:16">
      <c r="A569">
        <v>89</v>
      </c>
      <c r="B569" t="s">
        <v>126</v>
      </c>
      <c r="C569" t="s">
        <v>126</v>
      </c>
      <c r="D569" s="23" t="s">
        <v>365</v>
      </c>
      <c r="E569" t="s">
        <v>107</v>
      </c>
      <c r="G569" t="s">
        <v>127</v>
      </c>
      <c r="H569" t="s">
        <v>128</v>
      </c>
      <c r="I569">
        <v>20</v>
      </c>
      <c r="J569">
        <v>3</v>
      </c>
      <c r="K569">
        <v>0</v>
      </c>
      <c r="L569">
        <v>0</v>
      </c>
      <c r="M569" t="s">
        <v>101</v>
      </c>
      <c r="N569">
        <v>45876</v>
      </c>
      <c r="O569" t="s">
        <v>696</v>
      </c>
      <c r="P569" t="s">
        <v>503</v>
      </c>
    </row>
    <row r="570" spans="1:16">
      <c r="A570">
        <v>88</v>
      </c>
      <c r="B570" t="s">
        <v>124</v>
      </c>
      <c r="C570" t="e">
        <v>#N/A</v>
      </c>
      <c r="D570" s="23" t="s">
        <v>364</v>
      </c>
      <c r="E570" t="s">
        <v>107</v>
      </c>
      <c r="G570" t="s">
        <v>100</v>
      </c>
      <c r="H570" t="s">
        <v>125</v>
      </c>
      <c r="I570">
        <v>40</v>
      </c>
      <c r="J570">
        <v>1</v>
      </c>
      <c r="K570">
        <v>0</v>
      </c>
      <c r="L570">
        <v>0</v>
      </c>
      <c r="M570" t="s">
        <v>101</v>
      </c>
      <c r="N570">
        <v>45877</v>
      </c>
      <c r="O570" t="s">
        <v>696</v>
      </c>
      <c r="P570" t="s">
        <v>502</v>
      </c>
    </row>
    <row r="571" spans="1:16">
      <c r="A571">
        <v>87</v>
      </c>
      <c r="B571" t="s">
        <v>122</v>
      </c>
      <c r="C571" t="e">
        <v>#N/A</v>
      </c>
      <c r="D571" s="23" t="s">
        <v>363</v>
      </c>
      <c r="E571" t="s">
        <v>107</v>
      </c>
      <c r="G571" t="s">
        <v>100</v>
      </c>
      <c r="H571" t="s">
        <v>123</v>
      </c>
      <c r="I571">
        <v>40</v>
      </c>
      <c r="J571">
        <v>1</v>
      </c>
      <c r="K571">
        <v>0</v>
      </c>
      <c r="L571">
        <v>0</v>
      </c>
      <c r="M571" t="s">
        <v>101</v>
      </c>
      <c r="N571">
        <v>45877</v>
      </c>
      <c r="O571" t="s">
        <v>696</v>
      </c>
      <c r="P571" t="s">
        <v>501</v>
      </c>
    </row>
    <row r="572" spans="1:16">
      <c r="A572">
        <v>86</v>
      </c>
      <c r="B572" t="s">
        <v>120</v>
      </c>
      <c r="C572" t="e">
        <v>#N/A</v>
      </c>
      <c r="D572" s="23" t="s">
        <v>362</v>
      </c>
      <c r="E572" t="s">
        <v>107</v>
      </c>
      <c r="G572" t="s">
        <v>100</v>
      </c>
      <c r="H572" t="s">
        <v>121</v>
      </c>
      <c r="I572">
        <v>80</v>
      </c>
      <c r="J572">
        <v>3</v>
      </c>
      <c r="K572">
        <v>0</v>
      </c>
      <c r="L572">
        <v>0</v>
      </c>
      <c r="M572" t="s">
        <v>101</v>
      </c>
      <c r="N572">
        <v>45881</v>
      </c>
      <c r="O572" t="s">
        <v>696</v>
      </c>
      <c r="P572" t="s">
        <v>500</v>
      </c>
    </row>
    <row r="573" spans="1:16">
      <c r="A573">
        <v>85</v>
      </c>
      <c r="B573" t="s">
        <v>118</v>
      </c>
      <c r="C573" t="s">
        <v>118</v>
      </c>
      <c r="D573" s="23" t="s">
        <v>361</v>
      </c>
      <c r="E573" t="s">
        <v>107</v>
      </c>
      <c r="G573" t="s">
        <v>100</v>
      </c>
      <c r="H573" t="s">
        <v>119</v>
      </c>
      <c r="I573">
        <v>9</v>
      </c>
      <c r="J573">
        <v>4</v>
      </c>
      <c r="K573">
        <v>0</v>
      </c>
      <c r="L573">
        <v>0</v>
      </c>
      <c r="M573" t="s">
        <v>101</v>
      </c>
      <c r="N573">
        <v>45883</v>
      </c>
      <c r="O573" t="s">
        <v>696</v>
      </c>
      <c r="P573" t="s">
        <v>499</v>
      </c>
    </row>
    <row r="574" spans="1:16">
      <c r="A574">
        <v>25</v>
      </c>
      <c r="B574" t="s">
        <v>115</v>
      </c>
      <c r="C574" t="e">
        <v>#N/A</v>
      </c>
      <c r="D574" s="23" t="s">
        <v>360</v>
      </c>
      <c r="E574" t="s">
        <v>107</v>
      </c>
      <c r="G574" t="s">
        <v>116</v>
      </c>
      <c r="H574" t="s">
        <v>117</v>
      </c>
      <c r="I574">
        <v>27</v>
      </c>
      <c r="J574">
        <v>84</v>
      </c>
      <c r="K574">
        <v>11</v>
      </c>
      <c r="L574">
        <v>11</v>
      </c>
      <c r="M574" t="s">
        <v>101</v>
      </c>
      <c r="N574">
        <v>45896</v>
      </c>
      <c r="O574" t="s">
        <v>696</v>
      </c>
      <c r="P574" t="s">
        <v>498</v>
      </c>
    </row>
    <row r="575" spans="1:16">
      <c r="A575">
        <v>84</v>
      </c>
      <c r="B575" t="s">
        <v>112</v>
      </c>
      <c r="C575" t="s">
        <v>112</v>
      </c>
      <c r="D575" s="23" t="s">
        <v>359</v>
      </c>
      <c r="E575" t="s">
        <v>62</v>
      </c>
      <c r="G575" t="s">
        <v>113</v>
      </c>
      <c r="H575" t="s">
        <v>114</v>
      </c>
      <c r="I575">
        <v>48</v>
      </c>
      <c r="J575">
        <v>1</v>
      </c>
      <c r="K575">
        <v>0</v>
      </c>
      <c r="L575">
        <v>0</v>
      </c>
      <c r="M575" t="s">
        <v>101</v>
      </c>
      <c r="N575">
        <v>45898</v>
      </c>
      <c r="O575" t="s">
        <v>696</v>
      </c>
      <c r="P575" t="s">
        <v>497</v>
      </c>
    </row>
    <row r="576" spans="1:16">
      <c r="A576">
        <v>43</v>
      </c>
      <c r="B576" t="s">
        <v>99</v>
      </c>
      <c r="C576" t="s">
        <v>99</v>
      </c>
      <c r="D576" s="23" t="s">
        <v>358</v>
      </c>
      <c r="E576" t="s">
        <v>53</v>
      </c>
      <c r="G576" t="s">
        <v>100</v>
      </c>
      <c r="H576">
        <v>999</v>
      </c>
      <c r="I576">
        <v>16</v>
      </c>
      <c r="J576">
        <v>18</v>
      </c>
      <c r="K576">
        <v>4</v>
      </c>
      <c r="L576">
        <v>4</v>
      </c>
      <c r="M576" t="s">
        <v>101</v>
      </c>
      <c r="N576">
        <v>45898</v>
      </c>
      <c r="O576" t="s">
        <v>696</v>
      </c>
      <c r="P576" t="s">
        <v>496</v>
      </c>
    </row>
    <row r="577" spans="1:16">
      <c r="A577">
        <v>53</v>
      </c>
      <c r="B577" t="s">
        <v>106</v>
      </c>
      <c r="C577" t="s">
        <v>106</v>
      </c>
      <c r="D577" s="23" t="s">
        <v>356</v>
      </c>
      <c r="E577" t="s">
        <v>107</v>
      </c>
      <c r="G577" t="s">
        <v>108</v>
      </c>
      <c r="H577" t="s">
        <v>110</v>
      </c>
      <c r="I577">
        <v>35</v>
      </c>
      <c r="J577">
        <v>12</v>
      </c>
      <c r="K577">
        <v>3</v>
      </c>
      <c r="L577">
        <v>2</v>
      </c>
      <c r="M577" t="s">
        <v>101</v>
      </c>
      <c r="N577">
        <v>45915</v>
      </c>
      <c r="O577" t="s">
        <v>696</v>
      </c>
      <c r="P577" t="s">
        <v>494</v>
      </c>
    </row>
    <row r="578" spans="1:16">
      <c r="A578">
        <v>28</v>
      </c>
      <c r="B578" t="s">
        <v>106</v>
      </c>
      <c r="C578" t="e">
        <v>#N/A</v>
      </c>
      <c r="D578" s="23" t="s">
        <v>355</v>
      </c>
      <c r="E578" t="s">
        <v>107</v>
      </c>
      <c r="G578" t="s">
        <v>108</v>
      </c>
      <c r="H578" t="s">
        <v>109</v>
      </c>
      <c r="I578">
        <v>29</v>
      </c>
      <c r="J578">
        <v>17</v>
      </c>
      <c r="K578">
        <v>10</v>
      </c>
      <c r="L578">
        <v>10</v>
      </c>
      <c r="M578" t="s">
        <v>101</v>
      </c>
      <c r="N578">
        <v>45915</v>
      </c>
      <c r="O578" t="s">
        <v>696</v>
      </c>
      <c r="P578" t="s">
        <v>493</v>
      </c>
    </row>
    <row r="579" spans="1:16">
      <c r="A579">
        <v>131</v>
      </c>
      <c r="B579" t="s">
        <v>99</v>
      </c>
      <c r="C579" t="s">
        <v>99</v>
      </c>
      <c r="D579" s="23" t="s">
        <v>353</v>
      </c>
      <c r="E579" t="s">
        <v>53</v>
      </c>
      <c r="G579" t="s">
        <v>100</v>
      </c>
      <c r="H579">
        <v>999</v>
      </c>
      <c r="I579">
        <v>16</v>
      </c>
      <c r="J579">
        <v>0</v>
      </c>
      <c r="K579">
        <v>0</v>
      </c>
      <c r="L579">
        <v>0</v>
      </c>
      <c r="M579" t="s">
        <v>101</v>
      </c>
      <c r="N579">
        <v>45922</v>
      </c>
      <c r="O579" t="s">
        <v>684</v>
      </c>
      <c r="P579" t="s">
        <v>585</v>
      </c>
    </row>
    <row r="580" spans="1:16">
      <c r="A580">
        <v>149</v>
      </c>
      <c r="B580" t="s">
        <v>1185</v>
      </c>
      <c r="C580" t="e">
        <v>#N/A</v>
      </c>
      <c r="D580" s="23" t="s">
        <v>1183</v>
      </c>
    </row>
    <row r="581" spans="1:16">
      <c r="A581">
        <v>142</v>
      </c>
      <c r="B581" t="s">
        <v>1156</v>
      </c>
      <c r="C581" t="e">
        <v>#N/A</v>
      </c>
      <c r="D581" s="23" t="s">
        <v>1157</v>
      </c>
    </row>
    <row r="582" spans="1:16">
      <c r="A582">
        <v>143</v>
      </c>
      <c r="B582" t="s">
        <v>1158</v>
      </c>
      <c r="C582" t="e">
        <v>#N/A</v>
      </c>
      <c r="D582" s="23" t="s">
        <v>1159</v>
      </c>
    </row>
  </sheetData>
  <autoFilter ref="A1:P562" xr:uid="{44F78DAC-A788-4738-A0C8-18BDC8CC0F46}">
    <sortState xmlns:xlrd2="http://schemas.microsoft.com/office/spreadsheetml/2017/richdata2" ref="A2:P582">
      <sortCondition ref="C1:C562"/>
    </sortState>
  </autoFilter>
  <phoneticPr fontId="3" type="noConversion"/>
  <conditionalFormatting sqref="D1:D1048576">
    <cfRule type="duplicateValues" dxfId="0" priority="1"/>
  </conditionalFormatting>
  <hyperlinks>
    <hyperlink ref="P439" r:id="rId1" xr:uid="{491FB380-EF59-498F-AF5B-80867337A643}"/>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F497-052D-4B83-B35B-4AFB8CD0EDB3}">
  <dimension ref="A1:L36"/>
  <sheetViews>
    <sheetView workbookViewId="0">
      <selection activeCell="B9" sqref="B9"/>
    </sheetView>
  </sheetViews>
  <sheetFormatPr defaultRowHeight="13.5"/>
  <cols>
    <col min="1" max="1" width="9.75" style="17" bestFit="1" customWidth="1"/>
    <col min="2" max="2" width="23.5" style="17" bestFit="1" customWidth="1"/>
    <col min="3" max="3" width="17.25" style="17" bestFit="1" customWidth="1"/>
    <col min="4" max="4" width="13.75" style="17" bestFit="1" customWidth="1"/>
  </cols>
  <sheetData>
    <row r="1" spans="1:12">
      <c r="A1" s="27" t="s">
        <v>1710</v>
      </c>
      <c r="B1" s="29" t="s">
        <v>1191</v>
      </c>
      <c r="C1" s="30" t="s">
        <v>1192</v>
      </c>
      <c r="D1" s="30" t="s">
        <v>1711</v>
      </c>
    </row>
    <row r="2" spans="1:12">
      <c r="A2" s="28">
        <v>1</v>
      </c>
      <c r="B2" s="31" t="s">
        <v>1697</v>
      </c>
      <c r="C2" s="32" t="s">
        <v>1193</v>
      </c>
      <c r="D2" s="32">
        <v>7</v>
      </c>
    </row>
    <row r="3" spans="1:12">
      <c r="A3" s="28">
        <v>2</v>
      </c>
      <c r="B3" s="31" t="s">
        <v>1186</v>
      </c>
      <c r="C3" s="32" t="s">
        <v>1196</v>
      </c>
      <c r="D3" s="32">
        <v>4</v>
      </c>
    </row>
    <row r="4" spans="1:12">
      <c r="A4" s="28">
        <v>3</v>
      </c>
      <c r="B4" s="31" t="s">
        <v>1187</v>
      </c>
      <c r="C4" s="32" t="s">
        <v>1195</v>
      </c>
      <c r="D4" s="32">
        <v>7</v>
      </c>
    </row>
    <row r="5" spans="1:12">
      <c r="A5" s="28">
        <v>4</v>
      </c>
      <c r="B5" s="31" t="s">
        <v>1188</v>
      </c>
      <c r="C5" s="32" t="s">
        <v>1194</v>
      </c>
      <c r="D5" s="32">
        <v>3</v>
      </c>
    </row>
    <row r="6" spans="1:12">
      <c r="A6" s="28">
        <v>5</v>
      </c>
      <c r="B6" s="31" t="s">
        <v>1189</v>
      </c>
      <c r="C6" s="32" t="s">
        <v>1197</v>
      </c>
      <c r="D6" s="32">
        <v>0</v>
      </c>
    </row>
    <row r="7" spans="1:12">
      <c r="A7" s="28">
        <v>6</v>
      </c>
      <c r="B7" s="31" t="s">
        <v>1190</v>
      </c>
      <c r="C7" s="32" t="s">
        <v>1198</v>
      </c>
      <c r="D7" s="32">
        <v>3</v>
      </c>
      <c r="I7" s="57" t="s">
        <v>1909</v>
      </c>
      <c r="J7" s="58" t="s">
        <v>1910</v>
      </c>
      <c r="K7" s="58" t="s">
        <v>1911</v>
      </c>
      <c r="L7" s="58" t="s">
        <v>1912</v>
      </c>
    </row>
    <row r="8" spans="1:12">
      <c r="A8" s="28">
        <v>7</v>
      </c>
      <c r="B8" s="31" t="s">
        <v>1356</v>
      </c>
      <c r="C8" s="32" t="s">
        <v>1357</v>
      </c>
      <c r="D8" s="32">
        <v>6</v>
      </c>
      <c r="I8" s="75" t="s">
        <v>1913</v>
      </c>
      <c r="J8" s="59" t="s">
        <v>1914</v>
      </c>
      <c r="K8" s="59" t="s">
        <v>1915</v>
      </c>
      <c r="L8" s="59" t="s">
        <v>1916</v>
      </c>
    </row>
    <row r="9" spans="1:12">
      <c r="A9" s="28">
        <v>8</v>
      </c>
      <c r="B9" s="31" t="s">
        <v>1698</v>
      </c>
      <c r="C9" s="32" t="s">
        <v>1701</v>
      </c>
      <c r="D9" s="32">
        <v>0</v>
      </c>
      <c r="I9" s="76"/>
      <c r="J9" s="60" t="s">
        <v>1917</v>
      </c>
      <c r="K9" s="60" t="s">
        <v>1918</v>
      </c>
      <c r="L9" s="60" t="s">
        <v>1919</v>
      </c>
    </row>
    <row r="10" spans="1:12">
      <c r="A10" s="28">
        <v>9</v>
      </c>
      <c r="B10" s="31" t="s">
        <v>1699</v>
      </c>
      <c r="C10" s="32" t="s">
        <v>1700</v>
      </c>
      <c r="D10" s="32">
        <v>0</v>
      </c>
      <c r="I10" s="57" t="s">
        <v>1920</v>
      </c>
      <c r="J10" s="58" t="s">
        <v>1921</v>
      </c>
      <c r="K10" s="58" t="s">
        <v>1922</v>
      </c>
      <c r="L10" s="58" t="s">
        <v>1923</v>
      </c>
    </row>
    <row r="11" spans="1:12">
      <c r="A11" s="28">
        <v>10</v>
      </c>
      <c r="B11" s="33" t="s">
        <v>1712</v>
      </c>
      <c r="C11" s="34" t="s">
        <v>1713</v>
      </c>
      <c r="D11" s="34">
        <v>0</v>
      </c>
      <c r="I11" s="61" t="s">
        <v>1924</v>
      </c>
      <c r="J11" s="59" t="s">
        <v>1925</v>
      </c>
      <c r="K11" s="59" t="s">
        <v>1926</v>
      </c>
      <c r="L11" s="59" t="s">
        <v>1927</v>
      </c>
    </row>
    <row r="12" spans="1:12">
      <c r="I12" s="61" t="s">
        <v>1928</v>
      </c>
      <c r="J12" s="59" t="s">
        <v>1929</v>
      </c>
      <c r="K12" s="59" t="s">
        <v>1930</v>
      </c>
      <c r="L12" s="59" t="s">
        <v>1931</v>
      </c>
    </row>
    <row r="13" spans="1:12">
      <c r="I13" s="61" t="s">
        <v>1932</v>
      </c>
      <c r="J13" s="59" t="s">
        <v>1933</v>
      </c>
      <c r="K13" s="59" t="s">
        <v>1934</v>
      </c>
      <c r="L13" s="59" t="s">
        <v>1935</v>
      </c>
    </row>
    <row r="14" spans="1:12">
      <c r="I14" s="62" t="s">
        <v>1936</v>
      </c>
      <c r="J14" s="63" t="s">
        <v>1937</v>
      </c>
      <c r="K14" s="63" t="s">
        <v>1938</v>
      </c>
      <c r="L14" s="63" t="s">
        <v>1939</v>
      </c>
    </row>
    <row r="15" spans="1:12">
      <c r="I15" s="64"/>
      <c r="J15" s="63" t="s">
        <v>1940</v>
      </c>
      <c r="K15" s="63" t="s">
        <v>1941</v>
      </c>
      <c r="L15" s="63" t="s">
        <v>1942</v>
      </c>
    </row>
    <row r="16" spans="1:12">
      <c r="I16" s="65"/>
      <c r="J16" s="60" t="s">
        <v>1943</v>
      </c>
      <c r="K16" s="60" t="s">
        <v>1944</v>
      </c>
      <c r="L16" s="66"/>
    </row>
    <row r="17" spans="7:12">
      <c r="I17" s="75" t="s">
        <v>1945</v>
      </c>
      <c r="J17" s="59" t="s">
        <v>1946</v>
      </c>
      <c r="K17" s="59" t="s">
        <v>1947</v>
      </c>
      <c r="L17" s="59" t="s">
        <v>1948</v>
      </c>
    </row>
    <row r="18" spans="7:12">
      <c r="I18" s="77"/>
      <c r="J18" s="63" t="s">
        <v>1949</v>
      </c>
      <c r="K18" s="63" t="s">
        <v>1950</v>
      </c>
      <c r="L18" s="63" t="s">
        <v>1951</v>
      </c>
    </row>
    <row r="19" spans="7:12">
      <c r="I19" s="76"/>
      <c r="J19" s="60" t="s">
        <v>1952</v>
      </c>
      <c r="K19" s="60" t="s">
        <v>1953</v>
      </c>
      <c r="L19" s="60" t="s">
        <v>1954</v>
      </c>
    </row>
    <row r="20" spans="7:12">
      <c r="I20" s="57" t="s">
        <v>1955</v>
      </c>
      <c r="J20" s="60" t="s">
        <v>1956</v>
      </c>
      <c r="K20" s="60" t="s">
        <v>1957</v>
      </c>
      <c r="L20" s="60" t="s">
        <v>1956</v>
      </c>
    </row>
    <row r="21" spans="7:12">
      <c r="I21" s="57" t="s">
        <v>1958</v>
      </c>
      <c r="J21" s="60">
        <v>1</v>
      </c>
      <c r="K21" s="60">
        <v>2</v>
      </c>
      <c r="L21" s="60">
        <v>10</v>
      </c>
    </row>
    <row r="31" spans="7:12">
      <c r="G31">
        <v>1.5</v>
      </c>
    </row>
    <row r="32" spans="7:12">
      <c r="G32">
        <v>1.5</v>
      </c>
    </row>
    <row r="33" spans="7:7">
      <c r="G33">
        <v>1.5</v>
      </c>
    </row>
    <row r="34" spans="7:7">
      <c r="G34">
        <v>1.5</v>
      </c>
    </row>
    <row r="35" spans="7:7">
      <c r="G35">
        <v>1.5</v>
      </c>
    </row>
    <row r="36" spans="7:7">
      <c r="G36">
        <f>G35*G34*G33*G32*G31</f>
        <v>7.59375</v>
      </c>
    </row>
  </sheetData>
  <mergeCells count="2">
    <mergeCell ref="I8:I9"/>
    <mergeCell ref="I17:I19"/>
  </mergeCells>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29A3-2F0A-406B-B912-A676C050A17F}">
  <dimension ref="A1:I53"/>
  <sheetViews>
    <sheetView topLeftCell="A4" workbookViewId="0">
      <selection activeCell="C53" sqref="C53"/>
    </sheetView>
  </sheetViews>
  <sheetFormatPr defaultRowHeight="13.5"/>
  <cols>
    <col min="1" max="1" width="17.375" style="15" customWidth="1"/>
    <col min="2" max="2" width="23.875" customWidth="1"/>
    <col min="3" max="3" width="73.25" customWidth="1"/>
    <col min="9" max="9" width="11.5" bestFit="1" customWidth="1"/>
    <col min="11" max="11" width="12.75" bestFit="1" customWidth="1"/>
  </cols>
  <sheetData>
    <row r="1" spans="1:9">
      <c r="A1" s="14" t="s">
        <v>0</v>
      </c>
      <c r="B1" s="2" t="s">
        <v>1</v>
      </c>
      <c r="C1" t="s">
        <v>2</v>
      </c>
      <c r="D1" s="1" t="s">
        <v>3</v>
      </c>
      <c r="E1" s="1" t="s">
        <v>4</v>
      </c>
      <c r="F1" s="8" t="s">
        <v>41</v>
      </c>
    </row>
    <row r="2" spans="1:9" ht="14.25">
      <c r="A2" s="15" t="s">
        <v>5</v>
      </c>
      <c r="B2" s="3" t="s">
        <v>699</v>
      </c>
      <c r="C2" t="s">
        <v>1779</v>
      </c>
      <c r="D2" s="5" t="s">
        <v>1727</v>
      </c>
      <c r="I2" s="35"/>
    </row>
    <row r="3" spans="1:9">
      <c r="A3" s="15" t="s">
        <v>5</v>
      </c>
      <c r="B3" s="3" t="s">
        <v>1725</v>
      </c>
      <c r="C3" t="s">
        <v>1780</v>
      </c>
      <c r="D3" t="s">
        <v>1728</v>
      </c>
    </row>
    <row r="4" spans="1:9">
      <c r="A4" s="15" t="s">
        <v>5</v>
      </c>
      <c r="B4" s="3" t="s">
        <v>1725</v>
      </c>
      <c r="C4" t="s">
        <v>1780</v>
      </c>
      <c r="D4" t="s">
        <v>1729</v>
      </c>
    </row>
    <row r="5" spans="1:9">
      <c r="A5" s="15" t="s">
        <v>5</v>
      </c>
      <c r="B5" s="3" t="s">
        <v>1725</v>
      </c>
      <c r="C5" t="s">
        <v>1780</v>
      </c>
      <c r="D5" t="s">
        <v>1730</v>
      </c>
    </row>
    <row r="6" spans="1:9">
      <c r="A6" s="15" t="s">
        <v>5</v>
      </c>
      <c r="B6" s="6" t="s">
        <v>699</v>
      </c>
      <c r="C6" t="s">
        <v>1779</v>
      </c>
      <c r="D6" t="s">
        <v>1731</v>
      </c>
    </row>
    <row r="7" spans="1:9">
      <c r="A7" s="15" t="s">
        <v>5</v>
      </c>
      <c r="B7" s="3" t="s">
        <v>1717</v>
      </c>
      <c r="C7" t="s">
        <v>1781</v>
      </c>
      <c r="D7" t="s">
        <v>1732</v>
      </c>
    </row>
    <row r="8" spans="1:9">
      <c r="A8" s="15" t="s">
        <v>5</v>
      </c>
      <c r="B8" s="3" t="s">
        <v>1726</v>
      </c>
      <c r="C8" t="s">
        <v>1782</v>
      </c>
      <c r="D8" t="s">
        <v>1733</v>
      </c>
    </row>
    <row r="9" spans="1:9">
      <c r="A9" s="15" t="s">
        <v>5</v>
      </c>
      <c r="B9" s="3" t="s">
        <v>1590</v>
      </c>
      <c r="C9" t="s">
        <v>1783</v>
      </c>
      <c r="D9" t="s">
        <v>1734</v>
      </c>
    </row>
    <row r="10" spans="1:9">
      <c r="A10" s="15" t="s">
        <v>5</v>
      </c>
      <c r="B10" s="3" t="s">
        <v>1722</v>
      </c>
      <c r="C10" t="s">
        <v>1784</v>
      </c>
      <c r="D10" t="s">
        <v>1735</v>
      </c>
    </row>
    <row r="11" spans="1:9">
      <c r="A11" s="15" t="s">
        <v>5</v>
      </c>
      <c r="B11" s="4" t="s">
        <v>698</v>
      </c>
      <c r="C11" t="s">
        <v>1785</v>
      </c>
      <c r="D11" t="s">
        <v>1736</v>
      </c>
    </row>
    <row r="12" spans="1:9">
      <c r="A12" s="15" t="s">
        <v>5</v>
      </c>
      <c r="B12" s="4" t="s">
        <v>1723</v>
      </c>
      <c r="C12" t="s">
        <v>1786</v>
      </c>
      <c r="D12" t="s">
        <v>1737</v>
      </c>
    </row>
    <row r="13" spans="1:9">
      <c r="A13" s="15" t="s">
        <v>5</v>
      </c>
      <c r="B13" s="4" t="s">
        <v>1724</v>
      </c>
      <c r="C13" t="s">
        <v>1787</v>
      </c>
      <c r="D13" s="5" t="s">
        <v>1738</v>
      </c>
    </row>
    <row r="14" spans="1:9">
      <c r="A14" s="15" t="s">
        <v>5</v>
      </c>
      <c r="B14" s="4" t="s">
        <v>44</v>
      </c>
      <c r="C14" t="s">
        <v>51</v>
      </c>
      <c r="D14" t="s">
        <v>1739</v>
      </c>
    </row>
    <row r="15" spans="1:9">
      <c r="A15" s="15" t="s">
        <v>5</v>
      </c>
      <c r="B15" s="4" t="s">
        <v>705</v>
      </c>
      <c r="C15" t="s">
        <v>632</v>
      </c>
      <c r="D15" s="5" t="s">
        <v>1740</v>
      </c>
    </row>
    <row r="16" spans="1:9">
      <c r="A16" s="15" t="s">
        <v>5</v>
      </c>
      <c r="B16" s="4" t="s">
        <v>47</v>
      </c>
      <c r="C16" t="s">
        <v>1788</v>
      </c>
      <c r="D16" s="5" t="s">
        <v>1741</v>
      </c>
    </row>
    <row r="17" spans="1:4">
      <c r="A17" s="15" t="s">
        <v>5</v>
      </c>
      <c r="B17" s="4" t="s">
        <v>1722</v>
      </c>
      <c r="C17" t="s">
        <v>1784</v>
      </c>
      <c r="D17" t="s">
        <v>1742</v>
      </c>
    </row>
    <row r="18" spans="1:4">
      <c r="A18" s="15" t="s">
        <v>5</v>
      </c>
      <c r="B18" s="4" t="s">
        <v>1723</v>
      </c>
      <c r="C18" t="s">
        <v>1786</v>
      </c>
      <c r="D18" t="s">
        <v>1743</v>
      </c>
    </row>
    <row r="19" spans="1:4">
      <c r="A19" s="15" t="s">
        <v>5</v>
      </c>
      <c r="B19" s="3" t="s">
        <v>1724</v>
      </c>
      <c r="C19" t="s">
        <v>1787</v>
      </c>
      <c r="D19" t="s">
        <v>1744</v>
      </c>
    </row>
    <row r="20" spans="1:4">
      <c r="A20" s="15" t="s">
        <v>5</v>
      </c>
      <c r="B20" t="s">
        <v>47</v>
      </c>
      <c r="C20" t="s">
        <v>1788</v>
      </c>
      <c r="D20" t="s">
        <v>1745</v>
      </c>
    </row>
    <row r="21" spans="1:4">
      <c r="A21" s="15" t="s">
        <v>5</v>
      </c>
      <c r="B21" t="s">
        <v>703</v>
      </c>
      <c r="C21" t="s">
        <v>629</v>
      </c>
      <c r="D21" t="s">
        <v>1746</v>
      </c>
    </row>
    <row r="22" spans="1:4">
      <c r="A22" s="15" t="s">
        <v>5</v>
      </c>
      <c r="B22" t="s">
        <v>698</v>
      </c>
      <c r="C22" t="s">
        <v>1785</v>
      </c>
      <c r="D22" t="s">
        <v>1747</v>
      </c>
    </row>
    <row r="23" spans="1:4">
      <c r="A23" s="15" t="s">
        <v>5</v>
      </c>
      <c r="B23" t="s">
        <v>700</v>
      </c>
      <c r="C23" t="s">
        <v>1789</v>
      </c>
      <c r="D23" t="s">
        <v>1748</v>
      </c>
    </row>
    <row r="24" spans="1:4">
      <c r="A24" s="15" t="s">
        <v>5</v>
      </c>
      <c r="B24" t="s">
        <v>1726</v>
      </c>
      <c r="C24" t="s">
        <v>1782</v>
      </c>
      <c r="D24" t="s">
        <v>1749</v>
      </c>
    </row>
    <row r="25" spans="1:4">
      <c r="A25" s="15" t="s">
        <v>5</v>
      </c>
      <c r="B25" t="s">
        <v>83</v>
      </c>
      <c r="C25" t="s">
        <v>1790</v>
      </c>
      <c r="D25" t="s">
        <v>1750</v>
      </c>
    </row>
    <row r="26" spans="1:4">
      <c r="A26" s="15" t="s">
        <v>5</v>
      </c>
      <c r="B26" t="s">
        <v>1590</v>
      </c>
      <c r="C26" t="s">
        <v>1783</v>
      </c>
      <c r="D26" t="s">
        <v>1751</v>
      </c>
    </row>
    <row r="27" spans="1:4">
      <c r="A27" s="15" t="s">
        <v>5</v>
      </c>
      <c r="B27" t="s">
        <v>1717</v>
      </c>
      <c r="C27" t="s">
        <v>1781</v>
      </c>
      <c r="D27" t="s">
        <v>1752</v>
      </c>
    </row>
    <row r="28" spans="1:4">
      <c r="A28" s="15" t="s">
        <v>5</v>
      </c>
      <c r="B28" t="s">
        <v>1726</v>
      </c>
      <c r="C28" t="s">
        <v>1782</v>
      </c>
      <c r="D28" t="s">
        <v>1753</v>
      </c>
    </row>
    <row r="29" spans="1:4">
      <c r="A29" s="15" t="s">
        <v>5</v>
      </c>
      <c r="B29" t="s">
        <v>698</v>
      </c>
      <c r="C29" t="s">
        <v>1785</v>
      </c>
      <c r="D29" t="s">
        <v>1754</v>
      </c>
    </row>
    <row r="30" spans="1:4">
      <c r="A30" s="15" t="s">
        <v>5</v>
      </c>
      <c r="B30" t="s">
        <v>698</v>
      </c>
      <c r="C30" t="s">
        <v>1785</v>
      </c>
      <c r="D30" t="s">
        <v>1755</v>
      </c>
    </row>
    <row r="31" spans="1:4">
      <c r="A31" s="15" t="s">
        <v>5</v>
      </c>
      <c r="B31" t="s">
        <v>700</v>
      </c>
      <c r="C31" t="s">
        <v>1789</v>
      </c>
      <c r="D31" t="s">
        <v>1756</v>
      </c>
    </row>
    <row r="32" spans="1:4">
      <c r="A32" s="15" t="s">
        <v>5</v>
      </c>
      <c r="B32" t="s">
        <v>74</v>
      </c>
      <c r="C32" t="s">
        <v>1791</v>
      </c>
      <c r="D32" t="s">
        <v>1757</v>
      </c>
    </row>
    <row r="33" spans="1:4">
      <c r="A33" s="15" t="s">
        <v>5</v>
      </c>
      <c r="B33" t="s">
        <v>703</v>
      </c>
      <c r="C33" t="s">
        <v>629</v>
      </c>
      <c r="D33" t="s">
        <v>1758</v>
      </c>
    </row>
    <row r="34" spans="1:4">
      <c r="A34" s="15" t="s">
        <v>5</v>
      </c>
      <c r="B34" t="s">
        <v>1590</v>
      </c>
      <c r="C34" t="s">
        <v>1783</v>
      </c>
      <c r="D34" t="s">
        <v>1759</v>
      </c>
    </row>
    <row r="35" spans="1:4">
      <c r="A35" s="15" t="s">
        <v>5</v>
      </c>
      <c r="B35" t="s">
        <v>1717</v>
      </c>
      <c r="C35" t="s">
        <v>1781</v>
      </c>
      <c r="D35" t="s">
        <v>1760</v>
      </c>
    </row>
    <row r="36" spans="1:4">
      <c r="A36" s="15" t="s">
        <v>5</v>
      </c>
      <c r="B36" t="s">
        <v>1726</v>
      </c>
      <c r="C36" t="s">
        <v>1782</v>
      </c>
      <c r="D36" t="s">
        <v>1761</v>
      </c>
    </row>
    <row r="37" spans="1:4">
      <c r="A37" s="15" t="s">
        <v>5</v>
      </c>
      <c r="B37" t="s">
        <v>74</v>
      </c>
      <c r="C37" t="s">
        <v>1791</v>
      </c>
      <c r="D37" t="s">
        <v>1762</v>
      </c>
    </row>
    <row r="38" spans="1:4">
      <c r="A38" s="15" t="s">
        <v>5</v>
      </c>
      <c r="B38" t="s">
        <v>700</v>
      </c>
      <c r="C38" t="s">
        <v>1789</v>
      </c>
      <c r="D38" t="s">
        <v>1763</v>
      </c>
    </row>
    <row r="39" spans="1:4">
      <c r="A39" s="15" t="s">
        <v>5</v>
      </c>
      <c r="B39" t="s">
        <v>47</v>
      </c>
      <c r="C39" t="s">
        <v>1788</v>
      </c>
      <c r="D39" t="s">
        <v>1764</v>
      </c>
    </row>
    <row r="40" spans="1:4">
      <c r="A40" s="15" t="s">
        <v>5</v>
      </c>
      <c r="B40" t="s">
        <v>703</v>
      </c>
      <c r="C40" t="s">
        <v>629</v>
      </c>
      <c r="D40" t="s">
        <v>1765</v>
      </c>
    </row>
    <row r="41" spans="1:4">
      <c r="A41" s="15" t="s">
        <v>5</v>
      </c>
      <c r="B41" t="s">
        <v>83</v>
      </c>
      <c r="C41" t="s">
        <v>1790</v>
      </c>
      <c r="D41" t="s">
        <v>1766</v>
      </c>
    </row>
    <row r="42" spans="1:4">
      <c r="A42" s="15" t="s">
        <v>5</v>
      </c>
      <c r="B42" t="s">
        <v>74</v>
      </c>
      <c r="C42" t="s">
        <v>1791</v>
      </c>
      <c r="D42" t="s">
        <v>1767</v>
      </c>
    </row>
    <row r="43" spans="1:4">
      <c r="A43" s="15" t="s">
        <v>5</v>
      </c>
      <c r="B43" t="s">
        <v>74</v>
      </c>
      <c r="C43" t="s">
        <v>1791</v>
      </c>
      <c r="D43" t="s">
        <v>1768</v>
      </c>
    </row>
    <row r="44" spans="1:4">
      <c r="A44" s="15" t="s">
        <v>5</v>
      </c>
      <c r="B44" t="s">
        <v>47</v>
      </c>
      <c r="C44" t="s">
        <v>1788</v>
      </c>
      <c r="D44" t="s">
        <v>1769</v>
      </c>
    </row>
    <row r="45" spans="1:4">
      <c r="A45" s="15" t="s">
        <v>5</v>
      </c>
      <c r="B45" t="s">
        <v>1590</v>
      </c>
      <c r="C45" t="s">
        <v>1783</v>
      </c>
      <c r="D45" t="s">
        <v>1770</v>
      </c>
    </row>
    <row r="46" spans="1:4">
      <c r="A46" s="15" t="s">
        <v>5</v>
      </c>
      <c r="B46" t="s">
        <v>1726</v>
      </c>
      <c r="C46" t="s">
        <v>1782</v>
      </c>
      <c r="D46" t="s">
        <v>1771</v>
      </c>
    </row>
    <row r="47" spans="1:4">
      <c r="A47" s="15" t="s">
        <v>5</v>
      </c>
      <c r="B47" t="s">
        <v>83</v>
      </c>
      <c r="C47" t="s">
        <v>1790</v>
      </c>
      <c r="D47" t="s">
        <v>1772</v>
      </c>
    </row>
    <row r="48" spans="1:4">
      <c r="A48" s="15" t="s">
        <v>5</v>
      </c>
      <c r="B48" t="s">
        <v>47</v>
      </c>
      <c r="C48" t="s">
        <v>1788</v>
      </c>
      <c r="D48" s="5" t="s">
        <v>1773</v>
      </c>
    </row>
    <row r="49" spans="1:4">
      <c r="A49" s="15" t="s">
        <v>5</v>
      </c>
      <c r="B49" t="s">
        <v>47</v>
      </c>
      <c r="C49" t="s">
        <v>1788</v>
      </c>
      <c r="D49" t="s">
        <v>1774</v>
      </c>
    </row>
    <row r="50" spans="1:4">
      <c r="A50" s="15" t="s">
        <v>5</v>
      </c>
      <c r="B50" t="s">
        <v>83</v>
      </c>
      <c r="C50" t="s">
        <v>1790</v>
      </c>
      <c r="D50" t="s">
        <v>1775</v>
      </c>
    </row>
    <row r="51" spans="1:4">
      <c r="A51" s="15" t="s">
        <v>5</v>
      </c>
      <c r="B51" t="s">
        <v>74</v>
      </c>
      <c r="C51" t="s">
        <v>1791</v>
      </c>
      <c r="D51" t="s">
        <v>1776</v>
      </c>
    </row>
    <row r="52" spans="1:4">
      <c r="A52" s="15" t="s">
        <v>5</v>
      </c>
      <c r="B52" t="s">
        <v>47</v>
      </c>
      <c r="C52" t="s">
        <v>1788</v>
      </c>
      <c r="D52" t="s">
        <v>1777</v>
      </c>
    </row>
    <row r="53" spans="1:4">
      <c r="A53" s="15" t="s">
        <v>5</v>
      </c>
      <c r="B53" t="s">
        <v>80</v>
      </c>
      <c r="C53" t="s">
        <v>1792</v>
      </c>
      <c r="D53" t="s">
        <v>1778</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FBF39-C0BC-4D0F-AA5D-BA2043163179}">
  <dimension ref="A1:G25"/>
  <sheetViews>
    <sheetView workbookViewId="0">
      <selection activeCell="A7" sqref="A7:XFD7"/>
    </sheetView>
  </sheetViews>
  <sheetFormatPr defaultRowHeight="13.5"/>
  <cols>
    <col min="1" max="1" width="11.25" style="17" bestFit="1" customWidth="1"/>
    <col min="2" max="2" width="51" style="17" customWidth="1"/>
    <col min="3" max="3" width="24.375" style="17" customWidth="1"/>
    <col min="4" max="4" width="37" style="17" customWidth="1"/>
    <col min="5" max="5" width="38.5" style="17" customWidth="1"/>
    <col min="6" max="6" width="22.25" style="17" customWidth="1"/>
  </cols>
  <sheetData>
    <row r="1" spans="1:7">
      <c r="A1" s="19" t="s">
        <v>780</v>
      </c>
      <c r="B1" s="19" t="s">
        <v>781</v>
      </c>
      <c r="C1" s="19" t="s">
        <v>1641</v>
      </c>
      <c r="D1" s="19" t="s">
        <v>1642</v>
      </c>
      <c r="E1" s="20" t="s">
        <v>1640</v>
      </c>
      <c r="F1" s="20" t="s">
        <v>1629</v>
      </c>
    </row>
    <row r="2" spans="1:7">
      <c r="A2" s="20">
        <v>22773</v>
      </c>
      <c r="B2" s="20" t="s">
        <v>1612</v>
      </c>
      <c r="C2" s="20" t="s">
        <v>1613</v>
      </c>
      <c r="D2" s="20" t="s">
        <v>1614</v>
      </c>
      <c r="E2" s="20" t="s">
        <v>1614</v>
      </c>
      <c r="F2" s="20" t="s">
        <v>171</v>
      </c>
    </row>
    <row r="3" spans="1:7">
      <c r="A3" s="20">
        <v>23550</v>
      </c>
      <c r="B3" s="20" t="s">
        <v>1632</v>
      </c>
      <c r="C3" s="20" t="s">
        <v>1633</v>
      </c>
      <c r="D3" s="20" t="s">
        <v>1634</v>
      </c>
      <c r="E3" s="20" t="s">
        <v>1645</v>
      </c>
      <c r="F3" s="20" t="s">
        <v>171</v>
      </c>
      <c r="G3" s="18"/>
    </row>
    <row r="4" spans="1:7">
      <c r="A4" s="20">
        <v>22180</v>
      </c>
      <c r="B4" s="20" t="s">
        <v>1661</v>
      </c>
      <c r="C4" s="20" t="s">
        <v>1631</v>
      </c>
      <c r="D4" s="20" t="s">
        <v>1635</v>
      </c>
      <c r="E4" s="20" t="str">
        <f>VLOOKUP($A4,'[1]拼多多活动报名记录_2025-10-13-02-04-31'!$J:$L,2,0)</f>
        <v>百亿加倍补-电器大爆款报名</v>
      </c>
      <c r="F4" s="20" t="str">
        <f>VLOOKUP($A4,'[1]拼多多活动报名记录_2025-10-13-02-04-31'!$J:$L,3,0)</f>
        <v>百亿补贴</v>
      </c>
    </row>
    <row r="5" spans="1:7">
      <c r="A5" s="20">
        <v>22148</v>
      </c>
      <c r="B5" s="20" t="s">
        <v>1660</v>
      </c>
      <c r="C5" s="20"/>
      <c r="D5" s="20"/>
      <c r="E5" s="20" t="str">
        <f>VLOOKUP($A5,'[1]拼多多活动报名记录_2025-10-13-02-04-31'!$J:$L,2,0)</f>
        <v>百亿补贴-百亿加倍补-特定商品报名链接</v>
      </c>
      <c r="F5" s="20" t="str">
        <f>VLOOKUP($A5,'[1]拼多多活动报名记录_2025-10-13-02-04-31'!$J:$L,3,0)</f>
        <v>百亿补贴</v>
      </c>
    </row>
    <row r="6" spans="1:7">
      <c r="A6" s="20">
        <v>10441</v>
      </c>
      <c r="B6" s="20" t="s">
        <v>1655</v>
      </c>
      <c r="C6" s="20"/>
      <c r="D6" s="20"/>
      <c r="E6" s="20" t="str">
        <f>VLOOKUP($A6,'[1]拼多多活动报名记录_2025-10-13-02-04-31'!$J:$L,2,0)</f>
        <v>百亿补贴报名入口</v>
      </c>
      <c r="F6" s="20" t="str">
        <f>VLOOKUP($A6,'[1]拼多多活动报名记录_2025-10-13-02-04-31'!$J:$L,3,0)</f>
        <v>百亿补贴</v>
      </c>
    </row>
    <row r="7" spans="1:7">
      <c r="A7" s="20">
        <v>23581</v>
      </c>
      <c r="B7" s="20" t="s">
        <v>1666</v>
      </c>
      <c r="C7" s="20"/>
      <c r="D7" s="20"/>
      <c r="E7" s="20" t="str">
        <f>VLOOKUP($A7,'[1]拼多多活动报名记录_2025-10-13-02-04-31'!$J:$L,2,0)</f>
        <v>百亿补贴报名入口-全国活动</v>
      </c>
      <c r="F7" s="20" t="str">
        <f>VLOOKUP($A7,'[1]拼多多活动报名记录_2025-10-13-02-04-31'!$J:$L,3,0)</f>
        <v>百亿补贴</v>
      </c>
    </row>
    <row r="8" spans="1:7">
      <c r="A8" s="20">
        <v>22827</v>
      </c>
      <c r="B8" s="20" t="s">
        <v>1664</v>
      </c>
      <c r="C8" s="20" t="s">
        <v>1611</v>
      </c>
      <c r="D8" s="20"/>
      <c r="E8" s="20" t="str">
        <f>VLOOKUP($A8,'[1]拼多多活动报名记录_2025-10-13-02-04-31'!$J:$L,2,0)</f>
        <v>百亿补贴报名入口-政府补贴（快速通道）</v>
      </c>
      <c r="F8" s="20" t="str">
        <f>VLOOKUP($A8,'[1]拼多多活动报名记录_2025-10-13-02-04-31'!$J:$L,3,0)</f>
        <v>百亿补贴</v>
      </c>
    </row>
    <row r="9" spans="1:7">
      <c r="A9" s="20">
        <v>22181</v>
      </c>
      <c r="B9" s="20" t="s">
        <v>1662</v>
      </c>
      <c r="C9" s="20" t="s">
        <v>1630</v>
      </c>
      <c r="D9" s="20"/>
      <c r="E9" s="20" t="str">
        <f>VLOOKUP($A9,'[1]拼多多活动报名记录_2025-10-13-02-04-31'!$J:$L,2,0)</f>
        <v>百亿加倍补-电器非爆款报名</v>
      </c>
      <c r="F9" s="20" t="str">
        <f>VLOOKUP($A9,'[1]拼多多活动报名记录_2025-10-13-02-04-31'!$J:$L,3,0)</f>
        <v>百亿补贴</v>
      </c>
    </row>
    <row r="10" spans="1:7">
      <c r="A10" s="20"/>
      <c r="B10" s="20" t="s">
        <v>1627</v>
      </c>
      <c r="C10" s="20" t="s">
        <v>1625</v>
      </c>
      <c r="D10" s="20" t="s">
        <v>1624</v>
      </c>
      <c r="E10" s="20" t="s">
        <v>1648</v>
      </c>
      <c r="F10" s="20" t="s">
        <v>1649</v>
      </c>
    </row>
    <row r="11" spans="1:7">
      <c r="A11" s="20">
        <v>18056</v>
      </c>
      <c r="B11" s="20" t="s">
        <v>1616</v>
      </c>
      <c r="C11" s="20" t="s">
        <v>1615</v>
      </c>
      <c r="D11" s="20" t="s">
        <v>1621</v>
      </c>
      <c r="E11" s="20" t="str">
        <f>VLOOKUP($A11,'[1]拼多多活动报名记录_2025-10-13-02-04-31'!$J:$L,2,0)</f>
        <v>【平台官补】补贴秒杀品牌千万爆款团</v>
      </c>
      <c r="F11" s="20" t="str">
        <f>VLOOKUP($A11,'[1]拼多多活动报名记录_2025-10-13-02-04-31'!$J:$L,3,0)</f>
        <v>补贴秒杀</v>
      </c>
    </row>
    <row r="12" spans="1:7">
      <c r="A12" s="20">
        <v>19161</v>
      </c>
      <c r="B12" s="20" t="s">
        <v>1617</v>
      </c>
      <c r="C12" s="20" t="s">
        <v>1618</v>
      </c>
      <c r="D12" s="20" t="s">
        <v>1621</v>
      </c>
      <c r="E12" s="20" t="s">
        <v>1652</v>
      </c>
      <c r="F12" s="20" t="s">
        <v>1653</v>
      </c>
    </row>
    <row r="13" spans="1:7">
      <c r="A13" s="20">
        <v>20981</v>
      </c>
      <c r="B13" s="20" t="s">
        <v>1656</v>
      </c>
      <c r="C13" s="20"/>
      <c r="D13" s="20"/>
      <c r="E13" s="20" t="str">
        <f>VLOOKUP($A13,'[1]拼多多活动报名记录_2025-10-13-02-04-31'!$J:$L,2,0)</f>
        <v>【10周年庆】20981长期报名入口</v>
      </c>
      <c r="F13" s="20" t="str">
        <f>VLOOKUP($A13,'[1]拼多多活动报名记录_2025-10-13-02-04-31'!$J:$L,3,0)</f>
        <v>大促搜索池</v>
      </c>
    </row>
    <row r="14" spans="1:7">
      <c r="A14" s="20">
        <v>23620</v>
      </c>
      <c r="B14" s="20" t="s">
        <v>1667</v>
      </c>
      <c r="C14" s="20" t="s">
        <v>1639</v>
      </c>
      <c r="D14" s="20"/>
      <c r="E14" s="20" t="str">
        <f>VLOOKUP($A14,'[1]拼多多活动报名记录_2025-10-13-02-04-31'!$J:$L,2,0)</f>
        <v>【10周年庆】-国庆中秋搜索推荐报名专区</v>
      </c>
      <c r="F14" s="20" t="str">
        <f>VLOOKUP($A14,'[1]拼多多活动报名记录_2025-10-13-02-04-31'!$J:$L,3,0)</f>
        <v>大促搜索池</v>
      </c>
    </row>
    <row r="15" spans="1:7">
      <c r="A15" s="20">
        <v>23149</v>
      </c>
      <c r="B15" s="20" t="s">
        <v>1665</v>
      </c>
      <c r="C15" s="20"/>
      <c r="D15" s="20"/>
      <c r="E15" s="20" t="str">
        <f>VLOOKUP($A15,'[1]拼多多活动报名记录_2025-10-13-02-04-31'!$J:$L,2,0)</f>
        <v>平台官方活动-长期-搜索推荐专区</v>
      </c>
      <c r="F15" s="20" t="str">
        <f>VLOOKUP($A15,'[1]拼多多活动报名记录_2025-10-13-02-04-31'!$J:$L,3,0)</f>
        <v>大促搜索池</v>
      </c>
    </row>
    <row r="16" spans="1:7">
      <c r="A16" s="20">
        <v>22704</v>
      </c>
      <c r="B16" s="20" t="s">
        <v>1663</v>
      </c>
      <c r="C16" s="20"/>
      <c r="D16" s="20"/>
      <c r="E16" s="20" t="s">
        <v>777</v>
      </c>
      <c r="F16" s="20" t="s">
        <v>1654</v>
      </c>
    </row>
    <row r="17" spans="1:6">
      <c r="A17" s="20">
        <v>21663</v>
      </c>
      <c r="B17" s="20" t="s">
        <v>1658</v>
      </c>
      <c r="C17" s="20"/>
      <c r="D17" s="20"/>
      <c r="E17" s="20" t="str">
        <f>VLOOKUP($A17,'[1]拼多多活动报名记录_2025-10-13-02-04-31'!$J:$L,2,0)</f>
        <v>【百亿消费券】单件折扣9折</v>
      </c>
      <c r="F17" s="20" t="str">
        <f>VLOOKUP($A17,'[1]拼多多活动报名记录_2025-10-13-02-04-31'!$J:$L,3,0)</f>
        <v>品牌清仓</v>
      </c>
    </row>
    <row r="18" spans="1:6">
      <c r="A18" s="20">
        <v>21657</v>
      </c>
      <c r="B18" s="20" t="s">
        <v>1657</v>
      </c>
      <c r="C18" s="20"/>
      <c r="D18" s="20"/>
      <c r="E18" s="20" t="str">
        <f>VLOOKUP($A18,'[1]拼多多活动报名记录_2025-10-13-02-04-31'!$J:$L,2,0)</f>
        <v>【百亿消费券】活动长期报名链接</v>
      </c>
      <c r="F18" s="20" t="str">
        <f>VLOOKUP($A18,'[1]拼多多活动报名记录_2025-10-13-02-04-31'!$J:$L,3,0)</f>
        <v>品牌清仓</v>
      </c>
    </row>
    <row r="19" spans="1:6">
      <c r="A19" s="20">
        <v>21967</v>
      </c>
      <c r="B19" s="20" t="s">
        <v>1659</v>
      </c>
      <c r="C19" s="20"/>
      <c r="D19" s="20"/>
      <c r="E19" s="20" t="str">
        <f>VLOOKUP($A19,'[1]拼多多活动报名记录_2025-10-13-02-04-31'!$J:$L,2,0)</f>
        <v>【上首页】流量续航（极速审核）</v>
      </c>
      <c r="F19" s="20" t="str">
        <f>VLOOKUP($A19,'[1]拼多多活动报名记录_2025-10-13-02-04-31'!$J:$L,3,0)</f>
        <v>首页推荐专区</v>
      </c>
    </row>
    <row r="20" spans="1:6">
      <c r="A20" s="20">
        <v>4534</v>
      </c>
      <c r="B20" s="20" t="s">
        <v>1636</v>
      </c>
      <c r="C20" s="20" t="s">
        <v>1638</v>
      </c>
      <c r="D20" s="20" t="s">
        <v>1637</v>
      </c>
      <c r="E20" s="20" t="s">
        <v>1644</v>
      </c>
      <c r="F20" s="20" t="s">
        <v>1643</v>
      </c>
    </row>
    <row r="21" spans="1:6">
      <c r="A21" s="20">
        <v>17480</v>
      </c>
      <c r="B21" s="20" t="s">
        <v>1619</v>
      </c>
      <c r="C21" s="20" t="s">
        <v>1620</v>
      </c>
      <c r="D21" s="20" t="s">
        <v>1621</v>
      </c>
      <c r="E21" s="20" t="s">
        <v>1651</v>
      </c>
      <c r="F21" s="20" t="s">
        <v>1643</v>
      </c>
    </row>
    <row r="22" spans="1:6">
      <c r="A22" s="20">
        <v>22660</v>
      </c>
      <c r="B22" s="20" t="s">
        <v>1628</v>
      </c>
      <c r="C22" s="20" t="s">
        <v>1626</v>
      </c>
      <c r="D22" s="20" t="s">
        <v>1624</v>
      </c>
      <c r="E22" s="20" t="s">
        <v>1646</v>
      </c>
      <c r="F22" s="20" t="s">
        <v>1647</v>
      </c>
    </row>
    <row r="23" spans="1:6">
      <c r="A23" s="20">
        <v>584</v>
      </c>
      <c r="B23" s="20" t="s">
        <v>1622</v>
      </c>
      <c r="C23" s="20" t="s">
        <v>1623</v>
      </c>
      <c r="D23" s="21" t="s">
        <v>1668</v>
      </c>
      <c r="E23" s="20" t="s">
        <v>1650</v>
      </c>
      <c r="F23" s="20" t="s">
        <v>1647</v>
      </c>
    </row>
    <row r="24" spans="1:6" ht="14.25">
      <c r="A24" s="24">
        <v>20453</v>
      </c>
    </row>
    <row r="25" spans="1:6" ht="14.25">
      <c r="A25" s="24">
        <v>23531</v>
      </c>
    </row>
  </sheetData>
  <autoFilter ref="A1:F1" xr:uid="{F04FBF39-C0BC-4D0F-AA5D-BA2043163179}">
    <sortState xmlns:xlrd2="http://schemas.microsoft.com/office/spreadsheetml/2017/richdata2" ref="A2:F23">
      <sortCondition ref="F1"/>
    </sortState>
  </autoFilter>
  <phoneticPr fontId="3" type="noConversion"/>
  <hyperlinks>
    <hyperlink ref="B23" r:id="rId1" xr:uid="{8EA7DB76-39B7-467D-86BD-0B5C4D33EE27}"/>
    <hyperlink ref="B22" r:id="rId2" xr:uid="{E9018CA0-C71F-42DB-B65E-5E80CD62E4E5}"/>
    <hyperlink ref="B3" r:id="rId3" xr:uid="{704CFB9E-CD13-47C3-B002-C510B173CCA9}"/>
    <hyperlink ref="B20" r:id="rId4" xr:uid="{ED3B13F3-F08F-4EA7-8373-434A7AF39CF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1CAD8-13D2-4F87-BD57-C0F188CF5712}">
  <dimension ref="A1:J23"/>
  <sheetViews>
    <sheetView tabSelected="1" zoomScaleNormal="100" workbookViewId="0">
      <selection activeCell="G28" sqref="G28"/>
    </sheetView>
  </sheetViews>
  <sheetFormatPr defaultRowHeight="12.75" customHeight="1"/>
  <cols>
    <col min="1" max="1" width="9" style="40"/>
    <col min="2" max="2" width="28.5" style="42" customWidth="1"/>
    <col min="3" max="3" width="17.75" style="40" customWidth="1"/>
    <col min="4" max="6" width="20.5" style="40" customWidth="1"/>
    <col min="7" max="7" width="17" style="41" customWidth="1"/>
    <col min="8" max="8" width="55.625" style="42" customWidth="1"/>
    <col min="9" max="9" width="60.125" style="40" customWidth="1"/>
    <col min="10" max="10" width="16.125" style="40" bestFit="1" customWidth="1"/>
    <col min="11" max="16384" width="9" style="40"/>
  </cols>
  <sheetData>
    <row r="1" spans="1:10" ht="12.75" customHeight="1">
      <c r="A1" s="36" t="s">
        <v>1710</v>
      </c>
      <c r="B1" s="37" t="s">
        <v>613</v>
      </c>
      <c r="C1" s="38" t="s">
        <v>1681</v>
      </c>
      <c r="D1" s="38" t="s">
        <v>782</v>
      </c>
      <c r="E1" s="38" t="s">
        <v>1872</v>
      </c>
      <c r="F1" s="38" t="s">
        <v>1873</v>
      </c>
      <c r="G1" s="39" t="s">
        <v>1682</v>
      </c>
      <c r="H1" s="37" t="s">
        <v>775</v>
      </c>
      <c r="I1" s="38" t="s">
        <v>1829</v>
      </c>
      <c r="J1" s="38" t="s">
        <v>1830</v>
      </c>
    </row>
    <row r="2" spans="1:10" ht="12.75" customHeight="1">
      <c r="A2" s="43">
        <v>1</v>
      </c>
      <c r="B2" s="44" t="s">
        <v>694</v>
      </c>
      <c r="C2" s="45" t="s">
        <v>715</v>
      </c>
      <c r="D2" s="45" t="s">
        <v>43</v>
      </c>
      <c r="E2" s="54" t="s">
        <v>1879</v>
      </c>
      <c r="F2" s="54" t="s">
        <v>1892</v>
      </c>
      <c r="G2" s="46">
        <v>559</v>
      </c>
      <c r="H2" s="44" t="s">
        <v>1805</v>
      </c>
      <c r="I2" s="45" t="s">
        <v>626</v>
      </c>
      <c r="J2" s="54" t="s">
        <v>1822</v>
      </c>
    </row>
    <row r="3" spans="1:10" ht="12.75" customHeight="1">
      <c r="A3" s="43">
        <v>2</v>
      </c>
      <c r="B3" s="47" t="s">
        <v>1704</v>
      </c>
      <c r="C3" s="45" t="s">
        <v>1793</v>
      </c>
      <c r="D3" s="45" t="s">
        <v>1703</v>
      </c>
      <c r="E3" s="54" t="s">
        <v>1880</v>
      </c>
      <c r="F3" s="54" t="s">
        <v>1893</v>
      </c>
      <c r="G3" s="48">
        <v>599</v>
      </c>
      <c r="H3" s="47" t="s">
        <v>1705</v>
      </c>
      <c r="I3" s="45" t="s">
        <v>1788</v>
      </c>
      <c r="J3" s="45" t="s">
        <v>1827</v>
      </c>
    </row>
    <row r="4" spans="1:10" ht="12.75" customHeight="1">
      <c r="A4" s="43">
        <v>3</v>
      </c>
      <c r="B4" s="44" t="s">
        <v>695</v>
      </c>
      <c r="C4" s="45" t="s">
        <v>716</v>
      </c>
      <c r="D4" s="45" t="s">
        <v>43</v>
      </c>
      <c r="E4" s="54" t="s">
        <v>1881</v>
      </c>
      <c r="F4" s="54" t="s">
        <v>1892</v>
      </c>
      <c r="G4" s="46">
        <v>599</v>
      </c>
      <c r="H4" s="44" t="s">
        <v>1800</v>
      </c>
      <c r="I4" s="45" t="s">
        <v>626</v>
      </c>
      <c r="J4" s="45" t="s">
        <v>1822</v>
      </c>
    </row>
    <row r="5" spans="1:10" ht="15" customHeight="1">
      <c r="A5" s="43">
        <v>4</v>
      </c>
      <c r="B5" s="44" t="s">
        <v>1673</v>
      </c>
      <c r="C5" s="45" t="s">
        <v>1674</v>
      </c>
      <c r="D5" s="45" t="s">
        <v>1672</v>
      </c>
      <c r="E5" s="54" t="s">
        <v>1882</v>
      </c>
      <c r="F5" s="54" t="s">
        <v>1894</v>
      </c>
      <c r="G5" s="46">
        <v>699</v>
      </c>
      <c r="H5" s="44" t="s">
        <v>1959</v>
      </c>
      <c r="I5" s="45" t="s">
        <v>1820</v>
      </c>
      <c r="J5" s="45" t="s">
        <v>1821</v>
      </c>
    </row>
    <row r="6" spans="1:10" ht="12.75" customHeight="1">
      <c r="A6" s="43">
        <v>5</v>
      </c>
      <c r="B6" s="44" t="s">
        <v>1846</v>
      </c>
      <c r="C6" s="53" t="s">
        <v>1843</v>
      </c>
      <c r="D6" s="53" t="s">
        <v>1844</v>
      </c>
      <c r="E6" s="50" t="s">
        <v>1878</v>
      </c>
      <c r="F6" s="50"/>
      <c r="G6" s="55">
        <v>759</v>
      </c>
      <c r="H6" s="44" t="s">
        <v>1871</v>
      </c>
      <c r="I6" s="45" t="s">
        <v>1845</v>
      </c>
      <c r="J6" s="54" t="s">
        <v>1822</v>
      </c>
    </row>
    <row r="7" spans="1:10" ht="12.75" customHeight="1">
      <c r="A7" s="43">
        <v>6</v>
      </c>
      <c r="B7" s="44" t="s">
        <v>1706</v>
      </c>
      <c r="C7" s="45" t="s">
        <v>1683</v>
      </c>
      <c r="D7" s="45" t="s">
        <v>1812</v>
      </c>
      <c r="E7" s="54" t="s">
        <v>1883</v>
      </c>
      <c r="F7" s="54" t="s">
        <v>1895</v>
      </c>
      <c r="G7" s="49">
        <v>799</v>
      </c>
      <c r="H7" s="44" t="s">
        <v>1841</v>
      </c>
      <c r="I7" s="45" t="s">
        <v>1813</v>
      </c>
      <c r="J7" s="45" t="s">
        <v>1818</v>
      </c>
    </row>
    <row r="8" spans="1:10" ht="12.75" customHeight="1">
      <c r="A8" s="43">
        <v>7</v>
      </c>
      <c r="B8" s="44" t="s">
        <v>1679</v>
      </c>
      <c r="C8" s="45" t="s">
        <v>779</v>
      </c>
      <c r="D8" s="45" t="s">
        <v>45</v>
      </c>
      <c r="E8" s="54" t="s">
        <v>1884</v>
      </c>
      <c r="F8" s="54" t="s">
        <v>1896</v>
      </c>
      <c r="G8" s="46">
        <v>899</v>
      </c>
      <c r="H8" s="44" t="s">
        <v>1807</v>
      </c>
      <c r="I8" s="45" t="s">
        <v>51</v>
      </c>
      <c r="J8" s="45" t="s">
        <v>1816</v>
      </c>
    </row>
    <row r="9" spans="1:10" ht="12.75" customHeight="1">
      <c r="A9" s="43">
        <v>12</v>
      </c>
      <c r="B9" s="44" t="s">
        <v>1685</v>
      </c>
      <c r="C9" s="45" t="s">
        <v>1355</v>
      </c>
      <c r="D9" s="45" t="s">
        <v>1686</v>
      </c>
      <c r="E9" s="54" t="s">
        <v>1885</v>
      </c>
      <c r="F9" s="54" t="s">
        <v>1900</v>
      </c>
      <c r="G9" s="49">
        <v>1374</v>
      </c>
      <c r="H9" s="44" t="s">
        <v>1808</v>
      </c>
      <c r="I9" s="45" t="s">
        <v>629</v>
      </c>
      <c r="J9" s="45" t="s">
        <v>1824</v>
      </c>
    </row>
    <row r="10" spans="1:10" ht="12.75" customHeight="1">
      <c r="A10" s="43">
        <v>9</v>
      </c>
      <c r="B10" s="47" t="s">
        <v>1799</v>
      </c>
      <c r="C10" s="50" t="s">
        <v>1798</v>
      </c>
      <c r="D10" s="45" t="s">
        <v>1702</v>
      </c>
      <c r="E10" s="54" t="s">
        <v>1886</v>
      </c>
      <c r="F10" s="54" t="s">
        <v>1898</v>
      </c>
      <c r="G10" s="48">
        <v>1199</v>
      </c>
      <c r="H10" s="47" t="s">
        <v>1997</v>
      </c>
      <c r="I10" s="45" t="s">
        <v>1789</v>
      </c>
      <c r="J10" s="45" t="s">
        <v>1819</v>
      </c>
    </row>
    <row r="11" spans="1:10" ht="12.75" customHeight="1">
      <c r="A11" s="43">
        <v>10</v>
      </c>
      <c r="B11" s="44" t="s">
        <v>1811</v>
      </c>
      <c r="C11" s="53" t="s">
        <v>1809</v>
      </c>
      <c r="D11" s="52" t="s">
        <v>1810</v>
      </c>
      <c r="E11" s="52" t="s">
        <v>1887</v>
      </c>
      <c r="F11" s="52" t="s">
        <v>1899</v>
      </c>
      <c r="G11" s="46">
        <v>1299</v>
      </c>
      <c r="H11" s="44" t="s">
        <v>1907</v>
      </c>
      <c r="I11" s="45" t="s">
        <v>1814</v>
      </c>
      <c r="J11" s="45" t="s">
        <v>1823</v>
      </c>
    </row>
    <row r="12" spans="1:10" ht="12.75" customHeight="1">
      <c r="A12" s="43">
        <v>8</v>
      </c>
      <c r="B12" s="44" t="s">
        <v>1687</v>
      </c>
      <c r="C12" s="45" t="s">
        <v>1961</v>
      </c>
      <c r="D12" s="45" t="s">
        <v>1688</v>
      </c>
      <c r="E12" s="54" t="s">
        <v>1885</v>
      </c>
      <c r="F12" s="54" t="s">
        <v>1897</v>
      </c>
      <c r="G12" s="46">
        <v>1175</v>
      </c>
      <c r="H12" s="44" t="s">
        <v>1960</v>
      </c>
      <c r="I12" s="45" t="s">
        <v>1831</v>
      </c>
      <c r="J12" s="45" t="s">
        <v>1826</v>
      </c>
    </row>
    <row r="13" spans="1:10" ht="12.75" customHeight="1">
      <c r="A13" s="43">
        <v>18</v>
      </c>
      <c r="B13" s="44" t="s">
        <v>1692</v>
      </c>
      <c r="C13" s="45" t="s">
        <v>1803</v>
      </c>
      <c r="D13" s="45" t="s">
        <v>1691</v>
      </c>
      <c r="E13" s="50" t="s">
        <v>1875</v>
      </c>
      <c r="F13" s="54"/>
      <c r="G13" s="46">
        <v>1679</v>
      </c>
      <c r="H13" s="44" t="s">
        <v>776</v>
      </c>
      <c r="I13" s="45" t="s">
        <v>1835</v>
      </c>
      <c r="J13" s="45" t="s">
        <v>1840</v>
      </c>
    </row>
    <row r="14" spans="1:10" ht="12.75" customHeight="1">
      <c r="A14" s="43">
        <v>17</v>
      </c>
      <c r="B14" s="44" t="s">
        <v>1693</v>
      </c>
      <c r="C14" s="45" t="s">
        <v>1803</v>
      </c>
      <c r="D14" s="45" t="s">
        <v>1690</v>
      </c>
      <c r="E14" s="50" t="s">
        <v>1874</v>
      </c>
      <c r="F14" s="54"/>
      <c r="G14" s="48">
        <v>1599</v>
      </c>
      <c r="H14" s="44" t="s">
        <v>1802</v>
      </c>
      <c r="I14" s="45" t="s">
        <v>1834</v>
      </c>
      <c r="J14" s="45" t="s">
        <v>1838</v>
      </c>
    </row>
    <row r="15" spans="1:10" ht="12.75" customHeight="1">
      <c r="A15" s="43">
        <v>14</v>
      </c>
      <c r="B15" s="44" t="s">
        <v>1684</v>
      </c>
      <c r="C15" s="53" t="s">
        <v>1990</v>
      </c>
      <c r="D15" s="45" t="s">
        <v>1689</v>
      </c>
      <c r="E15" s="54" t="s">
        <v>1889</v>
      </c>
      <c r="F15" s="54" t="s">
        <v>1901</v>
      </c>
      <c r="G15" s="48">
        <v>1488</v>
      </c>
      <c r="H15" s="47" t="s">
        <v>1908</v>
      </c>
      <c r="I15" s="45" t="s">
        <v>1792</v>
      </c>
      <c r="J15" s="45" t="s">
        <v>1836</v>
      </c>
    </row>
    <row r="16" spans="1:10" ht="12.75" customHeight="1">
      <c r="A16" s="43">
        <v>15</v>
      </c>
      <c r="B16" s="44" t="s">
        <v>1684</v>
      </c>
      <c r="C16" s="45" t="s">
        <v>778</v>
      </c>
      <c r="D16" s="45" t="s">
        <v>1689</v>
      </c>
      <c r="E16" s="54" t="s">
        <v>1890</v>
      </c>
      <c r="F16" s="54" t="s">
        <v>1901</v>
      </c>
      <c r="G16" s="46">
        <v>1499</v>
      </c>
      <c r="H16" s="44" t="s">
        <v>1996</v>
      </c>
      <c r="I16" s="45" t="s">
        <v>1792</v>
      </c>
      <c r="J16" s="45" t="s">
        <v>1825</v>
      </c>
    </row>
    <row r="17" spans="1:10" ht="12.75" customHeight="1">
      <c r="A17" s="43">
        <v>16</v>
      </c>
      <c r="B17" s="44" t="s">
        <v>1992</v>
      </c>
      <c r="C17" s="45" t="s">
        <v>1991</v>
      </c>
      <c r="D17" s="53" t="s">
        <v>1994</v>
      </c>
      <c r="E17" s="50" t="s">
        <v>1993</v>
      </c>
      <c r="F17" s="54"/>
      <c r="G17" s="46">
        <v>199</v>
      </c>
      <c r="H17" s="44"/>
      <c r="I17" s="45"/>
      <c r="J17" s="45"/>
    </row>
    <row r="18" spans="1:10" ht="12.75" customHeight="1">
      <c r="A18" s="43">
        <v>13</v>
      </c>
      <c r="B18" s="44" t="s">
        <v>1694</v>
      </c>
      <c r="C18" s="45" t="s">
        <v>717</v>
      </c>
      <c r="D18" s="45" t="s">
        <v>1795</v>
      </c>
      <c r="E18" s="54" t="s">
        <v>1888</v>
      </c>
      <c r="F18" s="54"/>
      <c r="G18" s="46">
        <v>1429</v>
      </c>
      <c r="H18" s="44" t="s">
        <v>1696</v>
      </c>
      <c r="I18" s="45" t="s">
        <v>1832</v>
      </c>
      <c r="J18" s="54" t="s">
        <v>1839</v>
      </c>
    </row>
    <row r="19" spans="1:10" ht="12.75" customHeight="1">
      <c r="A19" s="43">
        <v>11</v>
      </c>
      <c r="B19" s="44" t="s">
        <v>1695</v>
      </c>
      <c r="C19" s="45" t="s">
        <v>717</v>
      </c>
      <c r="D19" s="45" t="s">
        <v>1794</v>
      </c>
      <c r="E19" s="54" t="s">
        <v>1888</v>
      </c>
      <c r="F19" s="54"/>
      <c r="G19" s="46">
        <v>1349</v>
      </c>
      <c r="H19" s="44" t="s">
        <v>1842</v>
      </c>
      <c r="I19" s="45" t="s">
        <v>1833</v>
      </c>
      <c r="J19" s="54" t="s">
        <v>1837</v>
      </c>
    </row>
    <row r="20" spans="1:10" ht="12.75" customHeight="1">
      <c r="A20" s="43">
        <v>19</v>
      </c>
      <c r="B20" s="51" t="s">
        <v>1716</v>
      </c>
      <c r="C20" s="45" t="s">
        <v>1714</v>
      </c>
      <c r="D20" s="45" t="s">
        <v>1715</v>
      </c>
      <c r="E20" s="50" t="s">
        <v>1876</v>
      </c>
      <c r="F20" s="54" t="s">
        <v>1902</v>
      </c>
      <c r="G20" s="48">
        <v>1999</v>
      </c>
      <c r="H20" s="47" t="s">
        <v>1801</v>
      </c>
      <c r="I20" s="45" t="s">
        <v>1780</v>
      </c>
      <c r="J20" s="45" t="s">
        <v>1815</v>
      </c>
    </row>
    <row r="21" spans="1:10" ht="12.75" customHeight="1">
      <c r="A21" s="43">
        <v>20</v>
      </c>
      <c r="B21" s="44" t="s">
        <v>725</v>
      </c>
      <c r="C21" s="45" t="s">
        <v>1610</v>
      </c>
      <c r="D21" s="45" t="s">
        <v>772</v>
      </c>
      <c r="E21" s="54" t="s">
        <v>1891</v>
      </c>
      <c r="F21" s="54" t="s">
        <v>1903</v>
      </c>
      <c r="G21" s="46">
        <v>2199</v>
      </c>
      <c r="H21" s="44" t="s">
        <v>1806</v>
      </c>
      <c r="I21" s="45" t="s">
        <v>1779</v>
      </c>
      <c r="J21" s="45" t="s">
        <v>1828</v>
      </c>
    </row>
    <row r="22" spans="1:10" ht="12.75" customHeight="1">
      <c r="A22" s="43">
        <v>21</v>
      </c>
      <c r="B22" s="47" t="s">
        <v>1998</v>
      </c>
      <c r="C22" s="52" t="s">
        <v>1796</v>
      </c>
      <c r="D22" s="52" t="s">
        <v>1797</v>
      </c>
      <c r="E22" s="50" t="s">
        <v>1877</v>
      </c>
      <c r="F22" s="52" t="s">
        <v>1904</v>
      </c>
      <c r="G22" s="48">
        <v>2599</v>
      </c>
      <c r="H22" s="47" t="s">
        <v>1804</v>
      </c>
      <c r="I22" s="45" t="s">
        <v>1785</v>
      </c>
      <c r="J22" s="45" t="s">
        <v>1817</v>
      </c>
    </row>
    <row r="23" spans="1:10" ht="12.75" customHeight="1">
      <c r="A23" s="43">
        <v>22</v>
      </c>
      <c r="B23" s="44" t="s">
        <v>1906</v>
      </c>
      <c r="C23" s="53" t="s">
        <v>1905</v>
      </c>
      <c r="D23" s="53" t="s">
        <v>1844</v>
      </c>
      <c r="E23" s="50" t="s">
        <v>1995</v>
      </c>
      <c r="F23" s="54"/>
      <c r="G23" s="46">
        <v>749</v>
      </c>
      <c r="H23" s="44"/>
      <c r="I23" s="45"/>
      <c r="J23" s="45"/>
    </row>
  </sheetData>
  <phoneticPr fontId="3"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44882-130F-41B5-865E-4AABF9961AC0}">
  <dimension ref="C4:G7"/>
  <sheetViews>
    <sheetView workbookViewId="0">
      <selection activeCell="E7" sqref="E7"/>
    </sheetView>
  </sheetViews>
  <sheetFormatPr defaultRowHeight="13.5"/>
  <cols>
    <col min="5" max="5" width="74.75" style="68" customWidth="1"/>
  </cols>
  <sheetData>
    <row r="4" spans="3:7">
      <c r="C4" s="70" t="s">
        <v>1973</v>
      </c>
      <c r="D4" s="70" t="s">
        <v>1974</v>
      </c>
      <c r="E4" s="72" t="s">
        <v>1975</v>
      </c>
      <c r="F4" s="71" t="s">
        <v>1976</v>
      </c>
      <c r="G4" s="71" t="s">
        <v>1977</v>
      </c>
    </row>
    <row r="5" spans="3:7" ht="96">
      <c r="C5" s="67" t="s">
        <v>1962</v>
      </c>
      <c r="D5" s="67" t="s">
        <v>1963</v>
      </c>
      <c r="E5" s="73" t="s">
        <v>1964</v>
      </c>
      <c r="F5" s="69" t="s">
        <v>1965</v>
      </c>
      <c r="G5" s="69" t="s">
        <v>1966</v>
      </c>
    </row>
    <row r="6" spans="3:7" ht="84">
      <c r="C6" s="67" t="s">
        <v>1962</v>
      </c>
      <c r="D6" s="67" t="s">
        <v>1963</v>
      </c>
      <c r="E6" s="73" t="s">
        <v>1967</v>
      </c>
      <c r="F6" s="69" t="s">
        <v>1968</v>
      </c>
      <c r="G6" s="69" t="s">
        <v>1969</v>
      </c>
    </row>
    <row r="7" spans="3:7" ht="96">
      <c r="C7" s="67" t="s">
        <v>1962</v>
      </c>
      <c r="D7" s="67" t="s">
        <v>1963</v>
      </c>
      <c r="E7" s="73" t="s">
        <v>1970</v>
      </c>
      <c r="F7" s="69" t="s">
        <v>1971</v>
      </c>
      <c r="G7" s="69" t="s">
        <v>1972</v>
      </c>
    </row>
  </sheetData>
  <phoneticPr fontId="2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5F09-5E64-4752-9DFC-4E1A556A5B83}">
  <dimension ref="A4:C7"/>
  <sheetViews>
    <sheetView workbookViewId="0">
      <selection activeCell="B26" sqref="B26"/>
    </sheetView>
  </sheetViews>
  <sheetFormatPr defaultRowHeight="13.5"/>
  <cols>
    <col min="1" max="1" width="27.5" customWidth="1"/>
    <col min="2" max="2" width="77.125" bestFit="1" customWidth="1"/>
    <col min="3" max="3" width="18.5" customWidth="1"/>
  </cols>
  <sheetData>
    <row r="4" spans="1:3" ht="12.75" customHeight="1">
      <c r="A4" s="74" t="s">
        <v>1989</v>
      </c>
      <c r="B4" s="5" t="s">
        <v>1981</v>
      </c>
      <c r="C4" s="26" t="s">
        <v>1985</v>
      </c>
    </row>
    <row r="5" spans="1:3">
      <c r="A5" s="7" t="s">
        <v>1978</v>
      </c>
      <c r="B5" s="5" t="s">
        <v>1982</v>
      </c>
      <c r="C5" s="26" t="s">
        <v>1986</v>
      </c>
    </row>
    <row r="6" spans="1:3">
      <c r="A6" s="7" t="s">
        <v>1979</v>
      </c>
      <c r="B6" s="5" t="s">
        <v>1983</v>
      </c>
      <c r="C6" s="26" t="s">
        <v>1987</v>
      </c>
    </row>
    <row r="7" spans="1:3">
      <c r="A7" s="7" t="s">
        <v>1980</v>
      </c>
      <c r="B7" s="5" t="s">
        <v>1984</v>
      </c>
      <c r="C7" s="26" t="s">
        <v>1988</v>
      </c>
    </row>
  </sheetData>
  <phoneticPr fontId="3" type="noConversion"/>
  <hyperlinks>
    <hyperlink ref="B4" r:id="rId1" xr:uid="{4FB33B28-6387-43EA-94B0-2333D8C3BBCE}"/>
    <hyperlink ref="B5" r:id="rId2" xr:uid="{6268E72A-9F51-44EA-9081-04D3BC5F2015}"/>
    <hyperlink ref="B6" r:id="rId3" xr:uid="{EBA8FB31-7EFF-4F78-A954-4BA708323572}"/>
    <hyperlink ref="B7" r:id="rId4" xr:uid="{6365BB5E-8435-44E3-903B-FB6EA770F29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03B524-96E7-4C41-9613-DB4D59329D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Sheet1</vt:lpstr>
      <vt:lpstr>店铺表2</vt:lpstr>
      <vt:lpstr>店铺表3</vt:lpstr>
      <vt:lpstr>监控表副本</vt:lpstr>
      <vt:lpstr>ACT</vt:lpstr>
      <vt:lpstr>products1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俊生 罗</cp:lastModifiedBy>
  <cp:lastPrinted>2025-11-17T08:32:12Z</cp:lastPrinted>
  <dcterms:created xsi:type="dcterms:W3CDTF">2025-09-03T01:24:00Z</dcterms:created>
  <dcterms:modified xsi:type="dcterms:W3CDTF">2025-12-15T07:12:38Z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DC13E168EFC346ECB83279D20677856E_12</vt:lpwstr>
  </property>
  <property fmtid="{D5CDD505-2E9C-101B-9397-08002B2CF9AE}" pid="3" name="KSOProductBuildVer">
    <vt:lpwstr>2052-12.1.0.22529</vt:lpwstr>
  </property>
</Properties>
</file>